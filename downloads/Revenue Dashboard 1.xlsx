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updateLinks="always" defaultThemeVersion="166925"/>
  <mc:AlternateContent xmlns:mc="http://schemas.openxmlformats.org/markup-compatibility/2006">
    <mc:Choice Requires="x15">
      <x15ac:absPath xmlns:x15ac="http://schemas.microsoft.com/office/spreadsheetml/2010/11/ac" url="https://d.docs.live.net/95a7887198507cb4/Documents/NIVDU - One/Phase Four Docs/ARMS (Phase 2)/"/>
    </mc:Choice>
  </mc:AlternateContent>
  <xr:revisionPtr revIDLastSave="0" documentId="8_{9B7960A9-7B7D-4CF1-A1B7-73F18FB91D02}" xr6:coauthVersionLast="47" xr6:coauthVersionMax="47" xr10:uidLastSave="{00000000-0000-0000-0000-000000000000}"/>
  <bookViews>
    <workbookView xWindow="0" yWindow="660" windowWidth="29400" windowHeight="18460" firstSheet="2" activeTab="2" xr2:uid="{00000000-000D-0000-FFFF-FFFF00000000}"/>
  </bookViews>
  <sheets>
    <sheet name="Actual Revenue" sheetId="4" r:id="rId1"/>
    <sheet name="Estimated Revenue" sheetId="1" r:id="rId2"/>
    <sheet name="Daily Revenue" sheetId="5" r:id="rId3"/>
    <sheet name="Revenue Codes" sheetId="2" r:id="rId4"/>
    <sheet name="Holidays" sheetId="6" r:id="rId5"/>
  </sheets>
  <definedNames>
    <definedName name="_xlnm._FilterDatabase" localSheetId="0" hidden="1">'Actual Revenue'!$A$1:$P$599</definedName>
    <definedName name="_xlnm._FilterDatabase" localSheetId="1" hidden="1">'Estimated Revenue'!$A$1:$P$592</definedName>
    <definedName name="holidays">Holidays!$A$2:$A$500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461" i="5" l="1"/>
  <c r="I2461" i="5"/>
  <c r="F157" i="4"/>
  <c r="J2344" i="5"/>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82"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81" i="1"/>
  <c r="P42" i="1"/>
  <c r="P43" i="1"/>
  <c r="P44" i="1"/>
  <c r="P45" i="1"/>
  <c r="P46" i="1"/>
  <c r="P47" i="1"/>
  <c r="P48" i="1"/>
  <c r="P49" i="1"/>
  <c r="P50" i="1"/>
  <c r="P51" i="1"/>
  <c r="P52" i="1"/>
  <c r="P53" i="1"/>
  <c r="P54" i="1"/>
  <c r="P55" i="1"/>
  <c r="P56" i="1"/>
  <c r="P57" i="1"/>
  <c r="P58" i="1"/>
  <c r="P59" i="1"/>
  <c r="P60" i="1"/>
  <c r="P6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2" i="1"/>
  <c r="C158" i="4"/>
  <c r="C159"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2"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60"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3" i="4"/>
  <c r="C4" i="4"/>
  <c r="C5" i="4"/>
  <c r="C6" i="4"/>
  <c r="C7" i="4"/>
  <c r="C8" i="4"/>
  <c r="C9" i="4"/>
  <c r="C10" i="4"/>
  <c r="C11" i="4"/>
  <c r="C12" i="4"/>
  <c r="C13" i="4"/>
  <c r="C14" i="4"/>
  <c r="C15" i="4"/>
  <c r="C16" i="4"/>
  <c r="C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tc={EDAAE5A9-D4DD-4B89-8F8E-4B64CB5D508F}</author>
  </authors>
  <commentList>
    <comment ref="B2" authorId="0" shapeId="0" xr:uid="{EDAAE5A9-D4DD-4B89-8F8E-4B64CB5D508F}">
      <text>
        <t>[Threaded comment]
Your version of Excel allows you to read this threaded comment; however, any edits to it will get removed if the file is opened in a newer version of Excel. Learn more: https://go.microsoft.com/fwlink/?linkid=870924
Comment:
    Include all revenue items under each revenue code ensuring completeness and accuracy</t>
      </text>
    </comment>
  </commentList>
</comments>
</file>

<file path=xl/sharedStrings.xml><?xml version="1.0" encoding="utf-8"?>
<sst xmlns="http://schemas.openxmlformats.org/spreadsheetml/2006/main" count="3637" uniqueCount="182">
  <si>
    <t>Year</t>
  </si>
  <si>
    <t>Revenue Code</t>
  </si>
  <si>
    <t>Description</t>
  </si>
  <si>
    <t>January</t>
  </si>
  <si>
    <t>February</t>
  </si>
  <si>
    <t>March</t>
  </si>
  <si>
    <t>April</t>
  </si>
  <si>
    <t>May</t>
  </si>
  <si>
    <t>June</t>
  </si>
  <si>
    <t>July</t>
  </si>
  <si>
    <t>August</t>
  </si>
  <si>
    <t>September</t>
  </si>
  <si>
    <t>October</t>
  </si>
  <si>
    <t>November</t>
  </si>
  <si>
    <t>December</t>
  </si>
  <si>
    <t>Total</t>
  </si>
  <si>
    <t>Instructions</t>
  </si>
  <si>
    <t>1001.01.00</t>
  </si>
  <si>
    <t>1) Revenue Code description appears automatically when code is entered. If code does not appear, add a new Revenue Code in the relevant Excel Sheet.
2) Fields automatically turns red if negative values are entered. Check and verify if those values are correct.
3) Enter all values in exact figures LKR (Not is millions, '000, billion etc.)
4) Values entered in this shared Excel automatically updates the Revenue Dashboard. If any errors in the dashboard is noticed, check values in this Excel Sheet.</t>
  </si>
  <si>
    <t>1001.02.00</t>
  </si>
  <si>
    <t>1001.04.00</t>
  </si>
  <si>
    <t>1001.05.01</t>
  </si>
  <si>
    <t>1001.05.02</t>
  </si>
  <si>
    <t>1001.06.00</t>
  </si>
  <si>
    <t>1001.08.00</t>
  </si>
  <si>
    <t>1003.01.00</t>
  </si>
  <si>
    <t>1002.01.04</t>
  </si>
  <si>
    <t>1002.05.00</t>
  </si>
  <si>
    <t>1002.05.01</t>
  </si>
  <si>
    <t>1002.05.02</t>
  </si>
  <si>
    <t>1002.05.03</t>
  </si>
  <si>
    <t>1002.05.04</t>
  </si>
  <si>
    <t>1002.05.99</t>
  </si>
  <si>
    <t>1002.12.03</t>
  </si>
  <si>
    <t>1003.06.00</t>
  </si>
  <si>
    <t>1003.07.10</t>
  </si>
  <si>
    <t>1004.04.02</t>
  </si>
  <si>
    <t>2003.02.17</t>
  </si>
  <si>
    <t>2003.03.01</t>
  </si>
  <si>
    <t>2003.02.99</t>
  </si>
  <si>
    <t>2003.99.00</t>
  </si>
  <si>
    <t>1001.05.00</t>
  </si>
  <si>
    <t>-</t>
  </si>
  <si>
    <t>1001.01.01</t>
  </si>
  <si>
    <t>1002.16.00</t>
  </si>
  <si>
    <t>1002.16.03</t>
  </si>
  <si>
    <t xml:space="preserve">                          -   </t>
  </si>
  <si>
    <t xml:space="preserve">                            -   </t>
  </si>
  <si>
    <t xml:space="preserve">                                     -   </t>
  </si>
  <si>
    <t xml:space="preserve">                                  -   </t>
  </si>
  <si>
    <t xml:space="preserve">                                 -   </t>
  </si>
  <si>
    <t xml:space="preserve">                                -   </t>
  </si>
  <si>
    <t xml:space="preserve">                                      -   </t>
  </si>
  <si>
    <t>1001.03.00</t>
  </si>
  <si>
    <t xml:space="preserve"> -   </t>
  </si>
  <si>
    <t xml:space="preserve">                                        -  </t>
  </si>
  <si>
    <t xml:space="preserve">                                   -  </t>
  </si>
  <si>
    <t xml:space="preserve">                                 -  </t>
  </si>
  <si>
    <t>1) Revenue Code description appears automatically when code is entered. If code does not appear, add a new Revenue Code in the relevant Excel Sheet.
2) Fields automatically turns red if negative values are entered. Check and verify if those values are correct.
3) Enter all values in exact figures LKR '000 (Hundred Thousand's). Please maintain this standard
4) Values entered in this shared Excel automatically updates the Revenue Dashboard. If any errors in the dashboard is noticed, check values in this Excel Sheet.</t>
  </si>
  <si>
    <t>Date</t>
  </si>
  <si>
    <t>Cash reveres</t>
  </si>
  <si>
    <t>Vat Refund</t>
  </si>
  <si>
    <t>BOC 7041607</t>
  </si>
  <si>
    <t>BOC 7041608</t>
  </si>
  <si>
    <t>DST 2026450</t>
  </si>
  <si>
    <t>PB 9026645</t>
  </si>
  <si>
    <t>PB 59025247</t>
  </si>
  <si>
    <t>DST 30110432</t>
  </si>
  <si>
    <t>Cumulative Total</t>
  </si>
  <si>
    <t>Daily Target</t>
  </si>
  <si>
    <t>Cumulative Target</t>
  </si>
  <si>
    <t>Percentage Achieved</t>
  </si>
  <si>
    <t>1) Holidays should be entered in the Holidays sheet. Relevant days are automatically updated.
2) Enter all values in exact figures LKR (Not is millions, '000, billion etc.)
3) Values entered in this shared Excel automatically updates the Revenue Dashboard. If any errors in the dashboard is noticed, check values in this Excel Sheet.</t>
  </si>
  <si>
    <t xml:space="preserve">                             -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</si>
  <si>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</si>
  <si>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</si>
  <si>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</si>
  <si>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</si>
  <si>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</si>
  <si>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</si>
  <si>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</si>
  <si>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</si>
  <si>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</si>
  <si>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   </t>
  </si>
  <si>
    <t> </t>
  </si>
  <si>
    <t xml:space="preserve">                             -  </t>
  </si>
  <si>
    <t xml:space="preserve">                              -  </t>
  </si>
  <si>
    <t xml:space="preserve">                            -  </t>
  </si>
  <si>
    <t xml:space="preserve">                                -  </t>
  </si>
  <si>
    <t xml:space="preserve">                               -  </t>
  </si>
  <si>
    <t xml:space="preserve">                                  -  </t>
  </si>
  <si>
    <t xml:space="preserve">  -   </t>
  </si>
  <si>
    <t xml:space="preserve">                                         -  </t>
  </si>
  <si>
    <t xml:space="preserve">Import Duty </t>
  </si>
  <si>
    <t>1) Include all revenue items under each revenue code ensuring completeness and accuracy
2) Check if suitable revenue code exists before creating new ones.
3) New revenue codes can be added to this table from the next available line. Always remember to enter the revenue code in the usual format with a suitable short description.</t>
  </si>
  <si>
    <t xml:space="preserve">Export Duty </t>
  </si>
  <si>
    <t xml:space="preserve">PAL </t>
  </si>
  <si>
    <t xml:space="preserve">Cess (Import) </t>
  </si>
  <si>
    <t>Cess (Export)</t>
  </si>
  <si>
    <t>SCL</t>
  </si>
  <si>
    <t>VAT</t>
  </si>
  <si>
    <t>SSL</t>
  </si>
  <si>
    <t>Cigarette</t>
  </si>
  <si>
    <t>Petroleum Products</t>
  </si>
  <si>
    <t>Motor Vehicles</t>
  </si>
  <si>
    <t>Excise (Other)</t>
  </si>
  <si>
    <t>VEL</t>
  </si>
  <si>
    <t>NBT</t>
  </si>
  <si>
    <t>LXT</t>
  </si>
  <si>
    <t>ESC</t>
  </si>
  <si>
    <t>Sundris &amp; Others</t>
  </si>
  <si>
    <t>Fine &amp; Forfeits</t>
  </si>
  <si>
    <t>Sales of Garment</t>
  </si>
  <si>
    <t>Other Receipts</t>
  </si>
  <si>
    <t>Motor Vehicle (Conc.) Levy</t>
  </si>
  <si>
    <t>Excise (Spec. Prov.) Levy</t>
  </si>
  <si>
    <t>Liquor</t>
  </si>
  <si>
    <t>ECL</t>
  </si>
  <si>
    <t>Cess Levy</t>
  </si>
  <si>
    <t>Surcharge (Import)</t>
  </si>
  <si>
    <t>SSCL</t>
  </si>
  <si>
    <t>IECD License Fee</t>
  </si>
  <si>
    <t>Day</t>
  </si>
  <si>
    <t>Holiday Name</t>
  </si>
  <si>
    <t>Holiday Type</t>
  </si>
  <si>
    <t>Friday</t>
  </si>
  <si>
    <t>Duruthu Full Moon Poya Day</t>
  </si>
  <si>
    <t>Public &amp; Bank</t>
  </si>
  <si>
    <t>1) Please update this table to automatically highlight the holidays.
2) Any holidays not noted in the table can be added at the end. Order of table does not have an impact on functionality.
3) This table helps understands daily revenue collections. It does not have a bearing on the functionality of the Excel</t>
  </si>
  <si>
    <t>Wednesday</t>
  </si>
  <si>
    <t>Tamil Thai Pongal Day</t>
  </si>
  <si>
    <t>Public, Bank &amp; Mercantile</t>
  </si>
  <si>
    <t>Tuesday</t>
  </si>
  <si>
    <t>National Day</t>
  </si>
  <si>
    <t>Saturday</t>
  </si>
  <si>
    <t>Navam Full Moon Poya Day</t>
  </si>
  <si>
    <t>Mahasivarathri Day</t>
  </si>
  <si>
    <t>Monday</t>
  </si>
  <si>
    <t>Medin Full Moon Poya Day</t>
  </si>
  <si>
    <t>Bak Full Moon Poya Day</t>
  </si>
  <si>
    <t>Good Friday</t>
  </si>
  <si>
    <t>Sunday</t>
  </si>
  <si>
    <t>Day prior to Sinhala &amp; Tamil New Year Day</t>
  </si>
  <si>
    <t>Sinhala &amp; Tamil New Year Day</t>
  </si>
  <si>
    <t>Special Bank Holiday</t>
  </si>
  <si>
    <t>Bank</t>
  </si>
  <si>
    <t>May Day (Labour Day)</t>
  </si>
  <si>
    <t>Thursday</t>
  </si>
  <si>
    <t>Vesak Full Moon Poya Day</t>
  </si>
  <si>
    <t>Day following Vesak Full Moon Poya Day</t>
  </si>
  <si>
    <t>Id-Ul-Fitr (Ramazan Festival Day)</t>
  </si>
  <si>
    <t>Poson Full Moon Poya Day</t>
  </si>
  <si>
    <t>Esala Full Moon Poya Day</t>
  </si>
  <si>
    <t>Id-Ul-Alha (Hadji Festival Day)</t>
  </si>
  <si>
    <t>Nikini Full Moon Poya Day</t>
  </si>
  <si>
    <t>Binara Full Moon Poya Day</t>
  </si>
  <si>
    <t>Adhi-Vap Full Moon Poya Day</t>
  </si>
  <si>
    <t>Milad-Un-Nabi (Holy Prophet's Birthday)</t>
  </si>
  <si>
    <t>Vap Full Moon Poya Day</t>
  </si>
  <si>
    <t>Deepavali Festival Day</t>
  </si>
  <si>
    <t>Il Full Moon Poya Day</t>
  </si>
  <si>
    <t>Christmas Day</t>
  </si>
  <si>
    <t>Unduvap Full Moon Poya Day</t>
  </si>
  <si>
    <t>National Day (Independence Day)</t>
  </si>
  <si>
    <r>
      <t xml:space="preserve">Special Bank Holiday </t>
    </r>
    <r>
      <rPr>
        <i/>
        <sz val="11"/>
        <color rgb="FF1F1F1F"/>
        <rFont val="Google Sans Text"/>
        <family val="2"/>
        <charset val="1"/>
      </rPr>
      <t>(Half day in lieu of May Day)</t>
    </r>
  </si>
  <si>
    <r>
      <t xml:space="preserve">Special Bank Holiday </t>
    </r>
    <r>
      <rPr>
        <i/>
        <sz val="11"/>
        <color rgb="FF1F1F1F"/>
        <rFont val="Google Sans Text"/>
        <family val="2"/>
        <charset val="1"/>
      </rPr>
      <t>(Half day in lieu of Christmas Day)</t>
    </r>
  </si>
  <si>
    <t>Independence Day (National Day)</t>
  </si>
  <si>
    <r>
      <t xml:space="preserve">Special Bank Holiday </t>
    </r>
    <r>
      <rPr>
        <i/>
        <sz val="11"/>
        <color rgb="FF1F1F1F"/>
        <rFont val="Google Sans Text"/>
        <family val="2"/>
        <charset val="1"/>
      </rPr>
      <t>(In lieu of May Day)</t>
    </r>
  </si>
  <si>
    <r>
      <t xml:space="preserve">Special Bank Holiday </t>
    </r>
    <r>
      <rPr>
        <i/>
        <sz val="11"/>
        <color rgb="FF1F1F1F"/>
        <rFont val="Google Sans Text"/>
        <family val="2"/>
        <charset val="1"/>
      </rPr>
      <t>(In lieu of Milad-Un-Nabi)</t>
    </r>
  </si>
  <si>
    <r>
      <t xml:space="preserve">Special Bank Holiday </t>
    </r>
    <r>
      <rPr>
        <i/>
        <sz val="11"/>
        <color rgb="FF1F1F1F"/>
        <rFont val="Google Sans Text"/>
        <family val="2"/>
        <charset val="1"/>
      </rPr>
      <t>(In lieu of Christmas Day)</t>
    </r>
  </si>
  <si>
    <r>
      <t xml:space="preserve">Special Bank Holiday </t>
    </r>
    <r>
      <rPr>
        <i/>
        <sz val="11"/>
        <color rgb="FF1F1F1F"/>
        <rFont val="Google Sans Text"/>
        <family val="2"/>
        <charset val="1"/>
      </rPr>
      <t>(In lieu of Thai Pongal)</t>
    </r>
  </si>
  <si>
    <t>Adhi-Esala Full Moon Poya Day</t>
  </si>
  <si>
    <t>May Day (International Workers' Day)</t>
  </si>
  <si>
    <r>
      <t xml:space="preserve">Special Public Holiday </t>
    </r>
    <r>
      <rPr>
        <i/>
        <sz val="11"/>
        <color rgb="FF1F1F1F"/>
        <rFont val="Google Sans Text"/>
        <family val="2"/>
        <charset val="1"/>
      </rPr>
      <t>(Post-Election Day)</t>
    </r>
  </si>
  <si>
    <t>Public</t>
  </si>
  <si>
    <t>Independence Day</t>
  </si>
  <si>
    <t>Id-Ul-Fitre (Ramazan Festival Day)</t>
  </si>
  <si>
    <t>May Day / Vesak Full Moon Poya Day</t>
  </si>
  <si>
    <t>Public, Bank &amp; Mercantile / Public &amp; Bank</t>
  </si>
  <si>
    <t>Id-Ul-Allah (Hadji Festival Day)</t>
  </si>
  <si>
    <t>Adhi Poson Full Moon Poya Day</t>
  </si>
  <si>
    <t>Deepawali Festival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</si>
</sst>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yyyy\-mm\-dd;@"/>
  </numFmts>
  <fonts count="20">
    <font>
      <sz val="11"/>
      <color theme="1"/>
      <name val="Calibri"/>
      <family val="2"/>
      <scheme val="minor"/>
    </font>
    <font>
      <sz val="11"/>
      <color theme="1"/>
      <name val="Calibri"/>
      <scheme val="minor"/>
    </font>
    <font>
      <sz val="11"/>
      <color rgb="FF000000"/>
      <name val="Calibri"/>
      <family val="2"/>
    </font>
    <font>
      <b/>
      <sz val="11"/>
      <color theme="1"/>
      <name val="Calibri"/>
      <family val="2"/>
      <scheme val="minor"/>
    </font>
    <font>
      <b/>
      <sz val="11"/>
      <color rgb="FF1F1F1F"/>
      <name val="Google Sans Text"/>
      <family val="2"/>
      <charset val="1"/>
    </font>
    <font>
      <sz val="11"/>
      <color rgb="FF1F1F1F"/>
      <name val="Google Sans Text"/>
      <family val="2"/>
      <charset val="1"/>
    </font>
    <font>
      <i/>
      <sz val="11"/>
      <color rgb="FF1F1F1F"/>
      <name val="Google Sans Text"/>
      <family val="2"/>
      <charset val="1"/>
    </font>
    <font>
      <sz val="12"/>
      <name val="Times New Roman"/>
      <family val="1"/>
    </font>
    <font>
      <sz val="12"/>
      <color rgb="FF000000"/>
      <name val="Times New Roman"/>
      <family val="1"/>
    </font>
    <font>
      <sz val="11"/>
      <name val="Times New Roman"/>
      <family val="1"/>
    </font>
    <font>
      <b/>
      <sz val="10"/>
      <name val="Arial"/>
      <family val="2"/>
    </font>
    <font>
      <sz val="11"/>
      <name val="Calibri"/>
      <scheme val="minor"/>
    </font>
    <font>
      <sz val="11"/>
      <color rgb="FF000000"/>
      <name val="Calibri"/>
      <scheme val="minor"/>
    </font>
    <font>
      <sz val="11"/>
      <color rgb="FF242424"/>
      <name val="Segoe UI"/>
      <charset val="1"/>
    </font>
    <font>
      <sz val="8"/>
      <color rgb="FF505050"/>
      <name val="Inherit"/>
      <charset val="1"/>
    </font>
    <font>
      <sz val="9"/>
      <color rgb="FF333333"/>
      <name val="Inherit"/>
      <charset val="1"/>
    </font>
    <font>
      <sz val="12"/>
      <color theme="1"/>
      <name val="Times New Roman"/>
      <family val="1"/>
    </font>
    <font>
      <b/>
      <sz val="11"/>
      <name val="Calibri"/>
      <scheme val="minor"/>
    </font>
    <font>
      <sz val="11"/>
      <name val="Calibri Light"/>
      <scheme val="major"/>
    </font>
    <font>
      <sz val="11"/>
      <color rgb="FF000000"/>
      <name val="Calibri Light"/>
      <scheme val="major"/>
    </font>
  </fonts>
  <fills count="10">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FF"/>
        <bgColor rgb="FF000000"/>
      </patternFill>
    </fill>
    <fill>
      <patternFill patternType="solid">
        <fgColor theme="7" tint="0.79998168889431442"/>
        <bgColor indexed="64"/>
      </patternFill>
    </fill>
    <fill>
      <patternFill patternType="solid">
        <fgColor rgb="FFBFBFBF"/>
        <bgColor rgb="FF000000"/>
      </patternFill>
    </fill>
    <fill>
      <patternFill patternType="solid">
        <fgColor rgb="FFA5A5A5"/>
        <bgColor rgb="FF000000"/>
      </patternFill>
    </fill>
    <fill>
      <patternFill patternType="solid">
        <fgColor rgb="FF808080"/>
        <bgColor rgb="FF000000"/>
      </patternFill>
    </fill>
    <fill>
      <patternFill patternType="solid">
        <fgColor theme="1" tint="0.499984740745262"/>
        <bgColor indexed="64"/>
      </patternFill>
    </fill>
  </fills>
  <borders count="7">
    <border>
      <left/>
      <right/>
      <top/>
      <bottom/>
      <diagonal/>
    </border>
    <border>
      <left style="thin">
        <color rgb="FF1F1F1F"/>
      </left>
      <right style="thin">
        <color rgb="FF1F1F1F"/>
      </right>
      <top style="thin">
        <color rgb="FF1F1F1F"/>
      </top>
      <bottom style="thin">
        <color rgb="FF1F1F1F"/>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2" fillId="0" borderId="0" xfId="0" applyFont="1"/>
    <xf numFmtId="164" fontId="0" fillId="0" borderId="0" xfId="0" applyNumberFormat="1"/>
    <xf numFmtId="0" fontId="0" fillId="0" borderId="0" xfId="0" applyAlignment="1">
      <alignment wrapText="1"/>
    </xf>
    <xf numFmtId="165" fontId="0" fillId="0" borderId="0" xfId="0" applyNumberFormat="1"/>
    <xf numFmtId="0" fontId="3" fillId="0" borderId="0" xfId="0" applyFont="1"/>
    <xf numFmtId="164" fontId="3" fillId="0" borderId="0" xfId="0" applyNumberFormat="1" applyFont="1"/>
    <xf numFmtId="3" fontId="0" fillId="0" borderId="0" xfId="0" applyNumberFormat="1"/>
    <xf numFmtId="164" fontId="2" fillId="0" borderId="0" xfId="0" applyNumberFormat="1" applyFont="1"/>
    <xf numFmtId="0" fontId="4" fillId="0" borderId="1" xfId="0" applyFont="1" applyBorder="1" applyAlignment="1">
      <alignment readingOrder="1"/>
    </xf>
    <xf numFmtId="0" fontId="5" fillId="0" borderId="1" xfId="0" applyFont="1" applyBorder="1" applyAlignment="1">
      <alignment readingOrder="1"/>
    </xf>
    <xf numFmtId="0" fontId="4" fillId="0" borderId="1" xfId="0" applyFont="1" applyBorder="1" applyAlignment="1">
      <alignment wrapText="1" readingOrder="1"/>
    </xf>
    <xf numFmtId="0" fontId="5" fillId="0" borderId="1" xfId="0" applyFont="1" applyBorder="1" applyAlignment="1">
      <alignment wrapText="1" readingOrder="1"/>
    </xf>
    <xf numFmtId="165" fontId="4" fillId="0" borderId="1" xfId="0" applyNumberFormat="1" applyFont="1" applyBorder="1" applyAlignment="1">
      <alignment readingOrder="1"/>
    </xf>
    <xf numFmtId="0" fontId="0" fillId="0" borderId="5" xfId="0" applyBorder="1"/>
    <xf numFmtId="0" fontId="3" fillId="0" borderId="5" xfId="0" applyFont="1" applyBorder="1"/>
    <xf numFmtId="0" fontId="3" fillId="0" borderId="2" xfId="0" applyFont="1" applyBorder="1"/>
    <xf numFmtId="0" fontId="7" fillId="0" borderId="0" xfId="0" applyFont="1"/>
    <xf numFmtId="0" fontId="0" fillId="5" borderId="0" xfId="0" applyFill="1"/>
    <xf numFmtId="0" fontId="0" fillId="5" borderId="0" xfId="0" applyFill="1" applyAlignment="1">
      <alignment wrapText="1"/>
    </xf>
    <xf numFmtId="164" fontId="0" fillId="5" borderId="0" xfId="0" applyNumberFormat="1" applyFill="1"/>
    <xf numFmtId="2" fontId="0" fillId="0" borderId="0" xfId="0" applyNumberFormat="1"/>
    <xf numFmtId="2" fontId="7" fillId="0" borderId="0" xfId="0" applyNumberFormat="1" applyFont="1"/>
    <xf numFmtId="2" fontId="8" fillId="0" borderId="0" xfId="0" applyNumberFormat="1" applyFont="1"/>
    <xf numFmtId="2" fontId="7" fillId="3" borderId="0" xfId="0" applyNumberFormat="1" applyFont="1" applyFill="1"/>
    <xf numFmtId="2" fontId="8" fillId="3" borderId="0" xfId="0" applyNumberFormat="1" applyFont="1" applyFill="1"/>
    <xf numFmtId="2" fontId="2" fillId="0" borderId="0" xfId="0" applyNumberFormat="1" applyFont="1"/>
    <xf numFmtId="4" fontId="11" fillId="4" borderId="0" xfId="0" applyNumberFormat="1" applyFont="1" applyFill="1"/>
    <xf numFmtId="0" fontId="13" fillId="0" borderId="0" xfId="0" applyFont="1"/>
    <xf numFmtId="0" fontId="14" fillId="0" borderId="0" xfId="0" applyFont="1" applyAlignment="1">
      <alignment wrapText="1"/>
    </xf>
    <xf numFmtId="0" fontId="15" fillId="0" borderId="0" xfId="0" applyFont="1" applyAlignment="1">
      <alignment wrapText="1"/>
    </xf>
    <xf numFmtId="4" fontId="11" fillId="3" borderId="0" xfId="0" applyNumberFormat="1" applyFont="1" applyFill="1"/>
    <xf numFmtId="43" fontId="0" fillId="0" borderId="0" xfId="0" applyNumberFormat="1"/>
    <xf numFmtId="43" fontId="0" fillId="0" borderId="0" xfId="0" applyNumberFormat="1" applyAlignment="1">
      <alignment wrapText="1"/>
    </xf>
    <xf numFmtId="43" fontId="7" fillId="0" borderId="0" xfId="0" applyNumberFormat="1" applyFont="1"/>
    <xf numFmtId="43" fontId="7" fillId="0" borderId="0" xfId="0" applyNumberFormat="1" applyFont="1" applyAlignment="1">
      <alignment wrapText="1"/>
    </xf>
    <xf numFmtId="43" fontId="7" fillId="4" borderId="6" xfId="0" applyNumberFormat="1" applyFont="1" applyFill="1" applyBorder="1"/>
    <xf numFmtId="43" fontId="9" fillId="0" borderId="0" xfId="0" applyNumberFormat="1" applyFont="1"/>
    <xf numFmtId="43" fontId="8" fillId="0" borderId="0" xfId="0" applyNumberFormat="1" applyFont="1"/>
    <xf numFmtId="43" fontId="7" fillId="3" borderId="0" xfId="0" applyNumberFormat="1" applyFont="1" applyFill="1"/>
    <xf numFmtId="43" fontId="8" fillId="3" borderId="0" xfId="0" applyNumberFormat="1" applyFont="1" applyFill="1"/>
    <xf numFmtId="43" fontId="10" fillId="3" borderId="0" xfId="0" applyNumberFormat="1" applyFont="1" applyFill="1"/>
    <xf numFmtId="43" fontId="7" fillId="4" borderId="0" xfId="0" applyNumberFormat="1" applyFont="1" applyFill="1"/>
    <xf numFmtId="43" fontId="11" fillId="4" borderId="0" xfId="0" applyNumberFormat="1" applyFont="1" applyFill="1"/>
    <xf numFmtId="43" fontId="16" fillId="3" borderId="0" xfId="0" applyNumberFormat="1" applyFont="1" applyFill="1"/>
    <xf numFmtId="43" fontId="12" fillId="3" borderId="0" xfId="0" applyNumberFormat="1" applyFont="1" applyFill="1"/>
    <xf numFmtId="43" fontId="11" fillId="3" borderId="0" xfId="0" applyNumberFormat="1" applyFont="1" applyFill="1"/>
    <xf numFmtId="43" fontId="12" fillId="4" borderId="0" xfId="0" applyNumberFormat="1" applyFont="1" applyFill="1"/>
    <xf numFmtId="43" fontId="17" fillId="3" borderId="0" xfId="0" applyNumberFormat="1" applyFont="1" applyFill="1"/>
    <xf numFmtId="0" fontId="11" fillId="4" borderId="0" xfId="0" applyFont="1" applyFill="1"/>
    <xf numFmtId="4" fontId="12" fillId="4" borderId="0" xfId="0" applyNumberFormat="1" applyFont="1" applyFill="1"/>
    <xf numFmtId="0" fontId="12" fillId="3" borderId="0" xfId="0" applyFont="1" applyFill="1"/>
    <xf numFmtId="0" fontId="11" fillId="3" borderId="0" xfId="0" applyFont="1" applyFill="1"/>
    <xf numFmtId="4" fontId="12" fillId="3" borderId="0" xfId="0" applyNumberFormat="1" applyFont="1" applyFill="1"/>
    <xf numFmtId="4" fontId="7" fillId="4" borderId="0" xfId="0" applyNumberFormat="1" applyFont="1" applyFill="1"/>
    <xf numFmtId="2" fontId="0" fillId="3" borderId="0" xfId="0" applyNumberFormat="1" applyFill="1"/>
    <xf numFmtId="4" fontId="7" fillId="3" borderId="0" xfId="0" applyNumberFormat="1" applyFont="1" applyFill="1"/>
    <xf numFmtId="0" fontId="18" fillId="3" borderId="0" xfId="0" applyFont="1" applyFill="1"/>
    <xf numFmtId="4" fontId="18" fillId="3" borderId="0" xfId="0" applyNumberFormat="1" applyFont="1" applyFill="1"/>
    <xf numFmtId="4" fontId="19" fillId="3" borderId="0" xfId="0" applyNumberFormat="1" applyFont="1" applyFill="1"/>
    <xf numFmtId="0" fontId="19" fillId="3" borderId="0" xfId="0" applyFont="1" applyFill="1"/>
    <xf numFmtId="0" fontId="12" fillId="4" borderId="0" xfId="0" applyFont="1" applyFill="1"/>
    <xf numFmtId="0" fontId="11" fillId="6" borderId="0" xfId="0" applyFont="1" applyFill="1"/>
    <xf numFmtId="4" fontId="11" fillId="6" borderId="0" xfId="0" applyNumberFormat="1" applyFont="1" applyFill="1"/>
    <xf numFmtId="0" fontId="12" fillId="6" borderId="0" xfId="0" applyFont="1" applyFill="1"/>
    <xf numFmtId="4" fontId="12" fillId="6" borderId="0" xfId="0" applyNumberFormat="1" applyFont="1" applyFill="1"/>
    <xf numFmtId="4" fontId="12" fillId="0" borderId="0" xfId="0" applyNumberFormat="1" applyFont="1"/>
    <xf numFmtId="0" fontId="12" fillId="0" borderId="0" xfId="0" applyFont="1"/>
    <xf numFmtId="4" fontId="11" fillId="7" borderId="0" xfId="0" applyNumberFormat="1" applyFont="1" applyFill="1"/>
    <xf numFmtId="3" fontId="12" fillId="0" borderId="0" xfId="0" applyNumberFormat="1" applyFont="1"/>
    <xf numFmtId="4" fontId="9" fillId="4" borderId="0" xfId="0" applyNumberFormat="1" applyFont="1" applyFill="1"/>
    <xf numFmtId="0" fontId="9" fillId="4" borderId="0" xfId="0" applyFont="1" applyFill="1"/>
    <xf numFmtId="0" fontId="9" fillId="8" borderId="0" xfId="0" applyFont="1" applyFill="1"/>
    <xf numFmtId="0" fontId="11" fillId="8" borderId="0" xfId="0" applyFont="1" applyFill="1"/>
    <xf numFmtId="4" fontId="11" fillId="8" borderId="0" xfId="0" applyNumberFormat="1" applyFont="1" applyFill="1"/>
    <xf numFmtId="0" fontId="0" fillId="9" borderId="0" xfId="0" applyFill="1"/>
    <xf numFmtId="0" fontId="12" fillId="8" borderId="0" xfId="0" applyFont="1" applyFill="1"/>
    <xf numFmtId="4" fontId="12" fillId="8" borderId="0" xfId="0" applyNumberFormat="1" applyFont="1" applyFill="1"/>
    <xf numFmtId="2" fontId="0" fillId="9" borderId="0" xfId="0" applyNumberFormat="1" applyFill="1"/>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164" fontId="1" fillId="0" borderId="0" xfId="0" applyNumberFormat="1" applyFont="1"/>
    <xf numFmtId="43" fontId="1" fillId="3" borderId="0" xfId="0" applyNumberFormat="1" applyFont="1" applyFill="1"/>
    <xf numFmtId="4" fontId="1" fillId="3" borderId="0" xfId="0" applyNumberFormat="1" applyFont="1"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uest User" id="{7DFF20FB-8056-48B7-AE14-9198D6FCDFE3}" userId="S::urn:spo:tenantanon#cf31badf-b9e1-40bd-aac9-1ac8beda028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6-01T07:55:53.82" personId="{7DFF20FB-8056-48B7-AE14-9198D6FCDFE3}" id="{EDAAE5A9-D4DD-4B89-8F8E-4B64CB5D508F}">
    <text>Include all revenue items under each revenue code ensuring completeness and accuracy</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3651-EB6E-4DCB-95B9-A37D585EEF0C}">
  <dimension ref="A1:S600"/>
  <sheetViews>
    <sheetView workbookViewId="0">
      <pane ySplit="1" topLeftCell="B152" activePane="bottomLeft" state="frozen"/>
      <selection pane="bottomLeft" activeCell="H147" sqref="H147"/>
    </sheetView>
  </sheetViews>
  <sheetFormatPr defaultColWidth="8.85546875" defaultRowHeight="15"/>
  <cols>
    <col min="1" max="1" width="5.140625" bestFit="1" customWidth="1"/>
    <col min="2" max="2" width="11.7109375" bestFit="1" customWidth="1"/>
    <col min="3" max="3" width="21.42578125" bestFit="1" customWidth="1"/>
    <col min="4" max="15" width="18" style="2" customWidth="1"/>
    <col min="16" max="16" width="18.140625" style="5" bestFit="1" customWidth="1"/>
    <col min="17" max="17" width="10.28515625" bestFit="1" customWidth="1"/>
    <col min="19" max="19" width="71" customWidth="1"/>
  </cols>
  <sheetData>
    <row r="1" spans="1:19">
      <c r="A1" t="s">
        <v>0</v>
      </c>
      <c r="B1" t="s">
        <v>1</v>
      </c>
      <c r="C1" t="s">
        <v>2</v>
      </c>
      <c r="D1" s="2" t="s">
        <v>3</v>
      </c>
      <c r="E1" s="2" t="s">
        <v>4</v>
      </c>
      <c r="F1" s="2" t="s">
        <v>5</v>
      </c>
      <c r="G1" s="2" t="s">
        <v>6</v>
      </c>
      <c r="H1" s="2" t="s">
        <v>7</v>
      </c>
      <c r="I1" s="2" t="s">
        <v>8</v>
      </c>
      <c r="J1" s="2" t="s">
        <v>9</v>
      </c>
      <c r="K1" s="2" t="s">
        <v>10</v>
      </c>
      <c r="L1" s="2" t="s">
        <v>11</v>
      </c>
      <c r="M1" s="2" t="s">
        <v>12</v>
      </c>
      <c r="N1" s="2" t="s">
        <v>13</v>
      </c>
      <c r="O1" s="2" t="s">
        <v>14</v>
      </c>
      <c r="P1" s="5" t="s">
        <v>15</v>
      </c>
      <c r="S1" s="15" t="s">
        <v>16</v>
      </c>
    </row>
    <row r="2" spans="1:19">
      <c r="A2">
        <v>2020</v>
      </c>
      <c r="B2" t="s">
        <v>17</v>
      </c>
      <c r="C2" s="3" t="str">
        <f>_xlfn.XLOOKUP(B2, 'Revenue Codes'!$A$2:$A$99, 'Revenue Codes'!$B$2:$B$99, "")</f>
        <v xml:space="preserve">Import Duty </v>
      </c>
      <c r="D2" s="2">
        <v>8569862399.4899998</v>
      </c>
      <c r="E2" s="2">
        <v>8148810219.2600002</v>
      </c>
      <c r="F2" s="2">
        <v>5172991217.2600002</v>
      </c>
      <c r="G2" s="2">
        <v>9374977255.4300003</v>
      </c>
      <c r="H2" s="2">
        <v>6041860523.4300003</v>
      </c>
      <c r="I2" s="2">
        <v>10288254944.950001</v>
      </c>
      <c r="J2" s="2">
        <v>12824540101.01</v>
      </c>
      <c r="K2" s="2">
        <v>12749401608.290001</v>
      </c>
      <c r="L2" s="2">
        <v>11761994906.35</v>
      </c>
      <c r="M2" s="2">
        <v>12264343587</v>
      </c>
      <c r="N2" s="2">
        <v>7066693261</v>
      </c>
      <c r="O2" s="2">
        <v>9165036084</v>
      </c>
      <c r="P2" s="6">
        <f>SUM(D2:O2)</f>
        <v>113428766107.47002</v>
      </c>
      <c r="S2" s="82" t="s">
        <v>18</v>
      </c>
    </row>
    <row r="3" spans="1:19">
      <c r="A3">
        <v>2020</v>
      </c>
      <c r="B3" t="s">
        <v>19</v>
      </c>
      <c r="C3" s="3" t="str">
        <f>_xlfn.XLOOKUP(B3, 'Revenue Codes'!$A$2:$A$99, 'Revenue Codes'!$B$2:$B$99, "")</f>
        <v xml:space="preserve">Export Duty </v>
      </c>
      <c r="D3" s="2">
        <v>8894271</v>
      </c>
      <c r="E3" s="2">
        <v>87156406</v>
      </c>
      <c r="F3" s="2">
        <v>4115423</v>
      </c>
      <c r="G3" s="2">
        <v>1706001</v>
      </c>
      <c r="H3" s="2">
        <v>82998001</v>
      </c>
      <c r="I3" s="2">
        <v>-138833998</v>
      </c>
      <c r="J3" s="2">
        <v>25531227</v>
      </c>
      <c r="K3" s="2">
        <v>3535255</v>
      </c>
      <c r="L3" s="2">
        <v>3505754</v>
      </c>
      <c r="M3" s="2">
        <v>4284650</v>
      </c>
      <c r="N3" s="2">
        <v>794437</v>
      </c>
      <c r="O3" s="2">
        <v>96015303</v>
      </c>
      <c r="P3" s="6">
        <f t="shared" ref="P3:P66" si="0">SUM(D3:O3)</f>
        <v>179702730</v>
      </c>
      <c r="S3" s="82"/>
    </row>
    <row r="4" spans="1:19">
      <c r="A4">
        <v>2020</v>
      </c>
      <c r="B4" t="s">
        <v>20</v>
      </c>
      <c r="C4" s="3" t="str">
        <f>_xlfn.XLOOKUP(B4, 'Revenue Codes'!$A$2:$A$99, 'Revenue Codes'!$B$2:$B$99, "")</f>
        <v xml:space="preserve">PAL </v>
      </c>
      <c r="D4" s="2">
        <v>11977905682</v>
      </c>
      <c r="E4" s="2">
        <v>11303190126</v>
      </c>
      <c r="F4" s="2">
        <v>6371475697</v>
      </c>
      <c r="G4" s="2">
        <v>7512095455</v>
      </c>
      <c r="H4" s="2">
        <v>6951258425</v>
      </c>
      <c r="I4" s="2">
        <v>8473303494</v>
      </c>
      <c r="J4" s="2">
        <v>9856600239</v>
      </c>
      <c r="K4" s="2">
        <v>9323097028</v>
      </c>
      <c r="L4" s="2">
        <v>11113490909</v>
      </c>
      <c r="M4" s="2">
        <v>9962682984</v>
      </c>
      <c r="N4" s="2">
        <v>10496612878</v>
      </c>
      <c r="O4" s="2">
        <v>12100297636</v>
      </c>
      <c r="P4" s="6">
        <f t="shared" si="0"/>
        <v>115442010553</v>
      </c>
      <c r="S4" s="82"/>
    </row>
    <row r="5" spans="1:19">
      <c r="A5">
        <v>2020</v>
      </c>
      <c r="B5" t="s">
        <v>21</v>
      </c>
      <c r="C5" s="3" t="str">
        <f>_xlfn.XLOOKUP(B5, 'Revenue Codes'!$A$2:$A$99, 'Revenue Codes'!$B$2:$B$99, "")</f>
        <v xml:space="preserve">Cess (Import) </v>
      </c>
      <c r="D5" s="2">
        <v>5113629670</v>
      </c>
      <c r="E5" s="2">
        <v>4282966641</v>
      </c>
      <c r="F5" s="2">
        <v>7700543</v>
      </c>
      <c r="G5" s="2">
        <v>2778891471</v>
      </c>
      <c r="H5" s="2">
        <v>23941893</v>
      </c>
      <c r="I5" s="2">
        <v>9495722328</v>
      </c>
      <c r="J5" s="2">
        <v>5245838886</v>
      </c>
      <c r="K5" s="2">
        <v>2958589037</v>
      </c>
      <c r="L5" s="2">
        <v>3906326327</v>
      </c>
      <c r="M5" s="2">
        <v>3786699039</v>
      </c>
      <c r="N5" s="2">
        <v>4211884531</v>
      </c>
      <c r="O5" s="2">
        <v>5482934475</v>
      </c>
      <c r="P5" s="6">
        <f t="shared" si="0"/>
        <v>47295124841</v>
      </c>
      <c r="S5" s="82"/>
    </row>
    <row r="6" spans="1:19">
      <c r="A6">
        <v>2020</v>
      </c>
      <c r="B6" t="s">
        <v>22</v>
      </c>
      <c r="C6" s="3" t="str">
        <f>_xlfn.XLOOKUP(B6, 'Revenue Codes'!$A$2:$A$99, 'Revenue Codes'!$B$2:$B$99, "")</f>
        <v>Cess (Export)</v>
      </c>
      <c r="D6" s="2">
        <v>194168144</v>
      </c>
      <c r="E6" s="2">
        <v>92704118</v>
      </c>
      <c r="F6" s="2">
        <v>135204071</v>
      </c>
      <c r="G6" s="2">
        <v>87177765</v>
      </c>
      <c r="H6" s="2">
        <v>93382308</v>
      </c>
      <c r="I6" s="2">
        <v>344202277</v>
      </c>
      <c r="J6" s="2">
        <v>201787371</v>
      </c>
      <c r="K6" s="2">
        <v>230506868</v>
      </c>
      <c r="L6" s="2">
        <v>193032472</v>
      </c>
      <c r="M6" s="2">
        <v>117640702</v>
      </c>
      <c r="N6" s="2">
        <v>4833073</v>
      </c>
      <c r="O6" s="2">
        <v>235979290</v>
      </c>
      <c r="P6" s="6">
        <f t="shared" si="0"/>
        <v>1930618459</v>
      </c>
      <c r="S6" s="82"/>
    </row>
    <row r="7" spans="1:19" ht="30.75">
      <c r="A7">
        <v>2020</v>
      </c>
      <c r="B7" t="s">
        <v>23</v>
      </c>
      <c r="C7" s="3" t="str">
        <f>_xlfn.XLOOKUP(B7, 'Revenue Codes'!$A$2:$A$99, 'Revenue Codes'!$B$2:$B$99, "")</f>
        <v>Motor Vehicle (Conc.) Levy</v>
      </c>
      <c r="D7" s="2">
        <v>3964401</v>
      </c>
      <c r="E7" s="2">
        <v>204088</v>
      </c>
      <c r="F7" s="2">
        <v>3899753</v>
      </c>
      <c r="I7" s="2">
        <v>1743025</v>
      </c>
      <c r="J7" s="2">
        <v>-9811267</v>
      </c>
      <c r="K7" s="2">
        <v>-2161500</v>
      </c>
      <c r="L7" s="2">
        <v>2161500</v>
      </c>
      <c r="N7" s="2">
        <v>313387</v>
      </c>
      <c r="O7" s="2">
        <v>2167363</v>
      </c>
      <c r="P7" s="6">
        <f t="shared" si="0"/>
        <v>2480750</v>
      </c>
      <c r="S7" s="82"/>
    </row>
    <row r="8" spans="1:19">
      <c r="A8">
        <v>2020</v>
      </c>
      <c r="B8" t="s">
        <v>24</v>
      </c>
      <c r="C8" s="3" t="str">
        <f>_xlfn.XLOOKUP(B8, 'Revenue Codes'!$A$2:$A$99, 'Revenue Codes'!$B$2:$B$99, "")</f>
        <v>SCL</v>
      </c>
      <c r="D8" s="2">
        <v>6153276217</v>
      </c>
      <c r="E8" s="2">
        <v>7294943259</v>
      </c>
      <c r="F8" s="2">
        <v>5818567445</v>
      </c>
      <c r="G8" s="2">
        <v>4825369566</v>
      </c>
      <c r="H8" s="2">
        <v>5172522400</v>
      </c>
      <c r="I8" s="2">
        <v>6894182726</v>
      </c>
      <c r="J8" s="2">
        <v>10305499874</v>
      </c>
      <c r="K8" s="2">
        <v>8677060214</v>
      </c>
      <c r="L8" s="2">
        <v>10419136367</v>
      </c>
      <c r="M8" s="2">
        <v>7499205343</v>
      </c>
      <c r="N8" s="2">
        <v>3917141784</v>
      </c>
      <c r="O8" s="2">
        <v>5732047773</v>
      </c>
      <c r="P8" s="6">
        <f t="shared" si="0"/>
        <v>82708952968</v>
      </c>
      <c r="S8" s="82"/>
    </row>
    <row r="9" spans="1:19">
      <c r="A9">
        <v>2020</v>
      </c>
      <c r="B9" t="s">
        <v>25</v>
      </c>
      <c r="C9" s="3" t="str">
        <f>_xlfn.XLOOKUP(B9, 'Revenue Codes'!$A$2:$A$99, 'Revenue Codes'!$B$2:$B$99, "")</f>
        <v>LXT</v>
      </c>
      <c r="D9" s="2">
        <v>61026434</v>
      </c>
      <c r="E9" s="2">
        <v>124797947</v>
      </c>
      <c r="F9" s="2">
        <v>57493116</v>
      </c>
      <c r="G9" s="2">
        <v>248458011</v>
      </c>
      <c r="H9" s="2">
        <v>332450594</v>
      </c>
      <c r="I9" s="2">
        <v>72154212</v>
      </c>
      <c r="J9" s="2">
        <v>47859220</v>
      </c>
      <c r="K9" s="2">
        <v>46135522</v>
      </c>
      <c r="L9" s="2">
        <v>2168716</v>
      </c>
      <c r="M9" s="2">
        <v>1576799</v>
      </c>
      <c r="N9" s="2">
        <v>316665</v>
      </c>
      <c r="O9" s="2">
        <v>45630</v>
      </c>
      <c r="P9" s="6">
        <f t="shared" si="0"/>
        <v>994482866</v>
      </c>
      <c r="S9" s="83"/>
    </row>
    <row r="10" spans="1:19">
      <c r="A10">
        <v>2020</v>
      </c>
      <c r="B10" t="s">
        <v>26</v>
      </c>
      <c r="C10" s="3" t="str">
        <f>_xlfn.XLOOKUP(B10, 'Revenue Codes'!$A$2:$A$99, 'Revenue Codes'!$B$2:$B$99, "")</f>
        <v>VAT</v>
      </c>
      <c r="D10" s="2">
        <v>9454699025</v>
      </c>
      <c r="E10" s="2">
        <v>7367278740</v>
      </c>
      <c r="F10" s="2">
        <v>6018829396</v>
      </c>
      <c r="G10" s="2">
        <v>6052997708</v>
      </c>
      <c r="H10" s="2">
        <v>5008431637</v>
      </c>
      <c r="I10" s="2">
        <v>4805787671</v>
      </c>
      <c r="J10" s="2">
        <v>6845220858</v>
      </c>
      <c r="K10" s="2">
        <v>6072915421</v>
      </c>
      <c r="L10" s="2">
        <v>8849874653</v>
      </c>
      <c r="M10" s="2">
        <v>8292903439</v>
      </c>
      <c r="N10" s="2">
        <v>7549846915</v>
      </c>
      <c r="O10" s="2">
        <v>9405505341</v>
      </c>
      <c r="P10" s="6">
        <f t="shared" si="0"/>
        <v>85724290804</v>
      </c>
    </row>
    <row r="11" spans="1:19" ht="30.75">
      <c r="A11">
        <v>2020</v>
      </c>
      <c r="B11" t="s">
        <v>27</v>
      </c>
      <c r="C11" s="3" t="str">
        <f>_xlfn.XLOOKUP(B11, 'Revenue Codes'!$A$2:$A$99, 'Revenue Codes'!$B$2:$B$99, "")</f>
        <v>Excise (Spec. Prov.) Levy</v>
      </c>
      <c r="L11" s="2">
        <v>1514969592</v>
      </c>
      <c r="M11" s="2">
        <v>954272875</v>
      </c>
      <c r="N11" s="2">
        <v>690098340</v>
      </c>
      <c r="O11" s="2">
        <v>679609534</v>
      </c>
      <c r="P11" s="6">
        <f t="shared" si="0"/>
        <v>3838950341</v>
      </c>
    </row>
    <row r="12" spans="1:19">
      <c r="A12">
        <v>2020</v>
      </c>
      <c r="B12" t="s">
        <v>28</v>
      </c>
      <c r="C12" s="3" t="str">
        <f>_xlfn.XLOOKUP(B12, 'Revenue Codes'!$A$2:$A$99, 'Revenue Codes'!$B$2:$B$99, "")</f>
        <v>Cigarette</v>
      </c>
      <c r="D12" s="2">
        <v>8045498721</v>
      </c>
      <c r="E12" s="2">
        <v>9011085300</v>
      </c>
      <c r="F12" s="2">
        <v>10824314847</v>
      </c>
      <c r="G12" s="2">
        <v>5986363600</v>
      </c>
      <c r="H12" s="2">
        <v>7085634316</v>
      </c>
      <c r="I12" s="2">
        <v>2490105353</v>
      </c>
      <c r="J12" s="2">
        <v>4840166084</v>
      </c>
      <c r="K12" s="2">
        <v>10665599200</v>
      </c>
      <c r="L12" s="2">
        <v>7128381110</v>
      </c>
      <c r="M12" s="2">
        <v>12471212300</v>
      </c>
      <c r="N12" s="2">
        <v>8199679800</v>
      </c>
      <c r="O12" s="2">
        <v>7596503488</v>
      </c>
      <c r="P12" s="6">
        <f t="shared" si="0"/>
        <v>94344544119</v>
      </c>
    </row>
    <row r="13" spans="1:19">
      <c r="A13">
        <v>2020</v>
      </c>
      <c r="B13" t="s">
        <v>29</v>
      </c>
      <c r="C13" s="3" t="str">
        <f>_xlfn.XLOOKUP(B13, 'Revenue Codes'!$A$2:$A$99, 'Revenue Codes'!$B$2:$B$99, "")</f>
        <v>Liquor</v>
      </c>
      <c r="P13" s="6">
        <f t="shared" si="0"/>
        <v>0</v>
      </c>
    </row>
    <row r="14" spans="1:19">
      <c r="A14">
        <v>2020</v>
      </c>
      <c r="B14" t="s">
        <v>30</v>
      </c>
      <c r="C14" s="3" t="str">
        <f>_xlfn.XLOOKUP(B14, 'Revenue Codes'!$A$2:$A$99, 'Revenue Codes'!$B$2:$B$99, "")</f>
        <v>Petroleum Products</v>
      </c>
      <c r="D14" s="2">
        <v>5796298360</v>
      </c>
      <c r="E14" s="2">
        <v>8485608221</v>
      </c>
      <c r="F14" s="2">
        <v>3983643368</v>
      </c>
      <c r="G14" s="2">
        <v>4248738760</v>
      </c>
      <c r="H14" s="2">
        <v>2221808479</v>
      </c>
      <c r="I14" s="2">
        <v>978475238</v>
      </c>
      <c r="J14" s="2">
        <v>5476079573</v>
      </c>
      <c r="K14" s="2">
        <v>6143902143</v>
      </c>
      <c r="L14" s="2">
        <v>4227546817</v>
      </c>
      <c r="M14" s="2">
        <v>4786810483</v>
      </c>
      <c r="N14" s="2">
        <v>2788137661</v>
      </c>
      <c r="O14" s="2">
        <v>119628690</v>
      </c>
      <c r="P14" s="6">
        <f t="shared" si="0"/>
        <v>49256677793</v>
      </c>
    </row>
    <row r="15" spans="1:19">
      <c r="A15">
        <v>2020</v>
      </c>
      <c r="B15" t="s">
        <v>31</v>
      </c>
      <c r="C15" s="3" t="str">
        <f>_xlfn.XLOOKUP(B15, 'Revenue Codes'!$A$2:$A$99, 'Revenue Codes'!$B$2:$B$99, "")</f>
        <v>Motor Vehicles</v>
      </c>
      <c r="D15" s="2">
        <v>9705892406</v>
      </c>
      <c r="E15" s="2">
        <v>7335669722</v>
      </c>
      <c r="F15" s="2">
        <v>7647544424</v>
      </c>
      <c r="G15" s="2">
        <v>8861560505</v>
      </c>
      <c r="H15" s="2">
        <v>6477763234</v>
      </c>
      <c r="I15" s="2">
        <v>1557808849</v>
      </c>
      <c r="J15" s="2">
        <v>1130608878</v>
      </c>
      <c r="K15" s="2">
        <v>434254743</v>
      </c>
      <c r="L15" s="2">
        <v>773077434</v>
      </c>
      <c r="M15" s="2">
        <v>650652395</v>
      </c>
      <c r="N15" s="2">
        <v>736657377</v>
      </c>
      <c r="O15" s="2">
        <v>3448448031</v>
      </c>
      <c r="P15" s="6">
        <f t="shared" si="0"/>
        <v>48759937998</v>
      </c>
    </row>
    <row r="16" spans="1:19">
      <c r="A16">
        <v>2020</v>
      </c>
      <c r="B16" t="s">
        <v>32</v>
      </c>
      <c r="C16" s="3" t="str">
        <f>_xlfn.XLOOKUP(B16, 'Revenue Codes'!$A$2:$A$99, 'Revenue Codes'!$B$2:$B$99, "")</f>
        <v>Excise (Other)</v>
      </c>
      <c r="D16" s="2">
        <v>476496458</v>
      </c>
      <c r="E16" s="2">
        <v>447968821</v>
      </c>
      <c r="F16" s="2">
        <v>114812890</v>
      </c>
      <c r="G16" s="2">
        <v>841123556</v>
      </c>
      <c r="H16" s="2">
        <v>148484499</v>
      </c>
      <c r="I16" s="2">
        <v>91434270</v>
      </c>
      <c r="J16" s="2">
        <v>497429318</v>
      </c>
      <c r="K16" s="2">
        <v>227866926</v>
      </c>
      <c r="L16" s="2">
        <v>400427620</v>
      </c>
      <c r="M16" s="2">
        <v>925363497</v>
      </c>
      <c r="N16" s="2">
        <v>81498791</v>
      </c>
      <c r="O16" s="2">
        <v>474041585</v>
      </c>
      <c r="P16" s="6">
        <f t="shared" si="0"/>
        <v>4726948231</v>
      </c>
    </row>
    <row r="17" spans="1:16">
      <c r="A17">
        <v>2020</v>
      </c>
      <c r="B17" t="s">
        <v>33</v>
      </c>
      <c r="C17" s="3" t="str">
        <f>_xlfn.XLOOKUP(B17, 'Revenue Codes'!$A$2:$A$99, 'Revenue Codes'!$B$2:$B$99, "")</f>
        <v>NBT</v>
      </c>
      <c r="D17" s="2">
        <v>6656026</v>
      </c>
      <c r="E17" s="2">
        <v>6198356</v>
      </c>
      <c r="F17" s="2">
        <v>495552235</v>
      </c>
      <c r="G17" s="2">
        <v>37092</v>
      </c>
      <c r="H17" s="2">
        <v>576788</v>
      </c>
      <c r="I17" s="2">
        <v>5010774</v>
      </c>
      <c r="J17" s="2">
        <v>10002490</v>
      </c>
      <c r="K17" s="2">
        <v>302341</v>
      </c>
      <c r="L17" s="2">
        <v>478048</v>
      </c>
      <c r="M17" s="2">
        <v>10426620</v>
      </c>
      <c r="N17" s="2">
        <v>174245</v>
      </c>
      <c r="O17" s="2">
        <v>771653382</v>
      </c>
      <c r="P17" s="6">
        <f t="shared" si="0"/>
        <v>1307068397</v>
      </c>
    </row>
    <row r="18" spans="1:16">
      <c r="A18">
        <v>2020</v>
      </c>
      <c r="B18" t="s">
        <v>34</v>
      </c>
      <c r="C18" s="3" t="str">
        <f>_xlfn.XLOOKUP(B18, 'Revenue Codes'!$A$2:$A$99, 'Revenue Codes'!$B$2:$B$99, "")</f>
        <v>ECL</v>
      </c>
      <c r="P18" s="6">
        <f t="shared" si="0"/>
        <v>0</v>
      </c>
    </row>
    <row r="19" spans="1:16">
      <c r="A19">
        <v>2020</v>
      </c>
      <c r="B19" t="s">
        <v>35</v>
      </c>
      <c r="C19" s="3" t="str">
        <f>_xlfn.XLOOKUP(B19, 'Revenue Codes'!$A$2:$A$99, 'Revenue Codes'!$B$2:$B$99, "")</f>
        <v>VEL</v>
      </c>
      <c r="D19" s="2">
        <v>100576000</v>
      </c>
      <c r="E19" s="2">
        <v>85712548</v>
      </c>
      <c r="F19" s="2">
        <v>77366350</v>
      </c>
      <c r="G19" s="2">
        <v>93839000</v>
      </c>
      <c r="H19" s="2">
        <v>59849000</v>
      </c>
      <c r="I19" s="2">
        <v>17097000</v>
      </c>
      <c r="J19" s="2">
        <v>9056994</v>
      </c>
      <c r="K19" s="2">
        <v>242560456</v>
      </c>
      <c r="L19" s="2">
        <v>5270000</v>
      </c>
      <c r="M19" s="2">
        <v>4264200</v>
      </c>
      <c r="N19" s="2">
        <v>5872880</v>
      </c>
      <c r="O19" s="2">
        <v>6057426</v>
      </c>
      <c r="P19" s="6">
        <f t="shared" si="0"/>
        <v>707521854</v>
      </c>
    </row>
    <row r="20" spans="1:16">
      <c r="A20">
        <v>2020</v>
      </c>
      <c r="B20" t="s">
        <v>36</v>
      </c>
      <c r="C20" s="3" t="str">
        <f>_xlfn.XLOOKUP(B20, 'Revenue Codes'!$A$2:$A$99, 'Revenue Codes'!$B$2:$B$99, "")</f>
        <v>ESC</v>
      </c>
      <c r="D20" s="2">
        <v>18599252</v>
      </c>
      <c r="E20" s="2">
        <v>107896</v>
      </c>
      <c r="F20" s="2">
        <v>15900</v>
      </c>
      <c r="H20" s="2">
        <v>5500</v>
      </c>
      <c r="I20" s="2">
        <v>9155047</v>
      </c>
      <c r="J20" s="2">
        <v>11474222</v>
      </c>
      <c r="K20" s="2">
        <v>6495</v>
      </c>
      <c r="L20" s="2">
        <v>14790</v>
      </c>
      <c r="M20" s="2">
        <v>65763763</v>
      </c>
      <c r="N20" s="2">
        <v>-64933066</v>
      </c>
      <c r="O20" s="2">
        <v>2238274</v>
      </c>
      <c r="P20" s="6">
        <f t="shared" si="0"/>
        <v>42448073</v>
      </c>
    </row>
    <row r="21" spans="1:16">
      <c r="A21">
        <v>2020</v>
      </c>
      <c r="B21" t="s">
        <v>37</v>
      </c>
      <c r="C21" s="3" t="str">
        <f>_xlfn.XLOOKUP(B21, 'Revenue Codes'!$A$2:$A$99, 'Revenue Codes'!$B$2:$B$99, "")</f>
        <v>Sales of Garment</v>
      </c>
      <c r="D21" s="2">
        <v>7116576</v>
      </c>
      <c r="E21" s="2">
        <v>20765500</v>
      </c>
      <c r="F21" s="2">
        <v>16273600</v>
      </c>
      <c r="G21" s="2">
        <v>900</v>
      </c>
      <c r="H21" s="2">
        <v>5071600</v>
      </c>
      <c r="I21" s="2">
        <v>6861375</v>
      </c>
      <c r="J21" s="2">
        <v>13560551</v>
      </c>
      <c r="K21" s="2">
        <v>19311175</v>
      </c>
      <c r="L21" s="2">
        <v>37569052</v>
      </c>
      <c r="M21" s="2">
        <v>28568220</v>
      </c>
      <c r="N21" s="2">
        <v>13218825</v>
      </c>
      <c r="O21" s="2">
        <v>16360500</v>
      </c>
      <c r="P21" s="6">
        <f t="shared" si="0"/>
        <v>184677874</v>
      </c>
    </row>
    <row r="22" spans="1:16">
      <c r="A22">
        <v>2020</v>
      </c>
      <c r="B22" t="s">
        <v>38</v>
      </c>
      <c r="C22" s="3" t="str">
        <f>_xlfn.XLOOKUP(B22, 'Revenue Codes'!$A$2:$A$99, 'Revenue Codes'!$B$2:$B$99, "")</f>
        <v>Fine &amp; Forfeits</v>
      </c>
      <c r="D22" s="2">
        <v>-10714746</v>
      </c>
      <c r="E22" s="2">
        <v>87482592</v>
      </c>
      <c r="F22" s="2">
        <v>23030550</v>
      </c>
      <c r="G22" s="2">
        <v>-22977704</v>
      </c>
      <c r="H22" s="2">
        <v>18883062</v>
      </c>
      <c r="I22" s="2">
        <v>33851159</v>
      </c>
      <c r="J22" s="2">
        <v>114936870</v>
      </c>
      <c r="K22" s="2">
        <v>1466640576</v>
      </c>
      <c r="L22" s="2">
        <v>838807590.63</v>
      </c>
      <c r="M22" s="2">
        <v>184350837</v>
      </c>
      <c r="N22" s="2">
        <v>124523863</v>
      </c>
      <c r="O22" s="2">
        <v>30404000</v>
      </c>
      <c r="P22" s="6">
        <f t="shared" si="0"/>
        <v>2889218649.6300001</v>
      </c>
    </row>
    <row r="23" spans="1:16">
      <c r="A23">
        <v>2020</v>
      </c>
      <c r="B23" t="s">
        <v>39</v>
      </c>
      <c r="C23" s="3" t="str">
        <f>_xlfn.XLOOKUP(B23, 'Revenue Codes'!$A$2:$A$99, 'Revenue Codes'!$B$2:$B$99, "")</f>
        <v>Sundris &amp; Others</v>
      </c>
      <c r="D23" s="2">
        <v>17456948</v>
      </c>
      <c r="E23" s="2">
        <v>16831155</v>
      </c>
      <c r="F23" s="2">
        <v>10440846</v>
      </c>
      <c r="G23" s="2">
        <v>25295874</v>
      </c>
      <c r="H23" s="2">
        <v>9390457</v>
      </c>
      <c r="I23" s="2">
        <v>26282017</v>
      </c>
      <c r="J23" s="2">
        <v>19570836</v>
      </c>
      <c r="K23" s="2">
        <v>20575968</v>
      </c>
      <c r="L23" s="2">
        <v>20344612</v>
      </c>
      <c r="M23" s="2">
        <v>11744701</v>
      </c>
      <c r="N23" s="2">
        <v>22728309</v>
      </c>
      <c r="O23" s="2">
        <v>22390648</v>
      </c>
      <c r="P23" s="6">
        <f t="shared" si="0"/>
        <v>223052371</v>
      </c>
    </row>
    <row r="24" spans="1:16">
      <c r="A24">
        <v>2020</v>
      </c>
      <c r="B24" t="s">
        <v>40</v>
      </c>
      <c r="C24" s="3" t="str">
        <f>_xlfn.XLOOKUP(B24, 'Revenue Codes'!$A$2:$A$99, 'Revenue Codes'!$B$2:$B$99, "")</f>
        <v>Other Receipts</v>
      </c>
      <c r="D24" s="2">
        <v>14062837</v>
      </c>
      <c r="E24" s="2">
        <v>12854432</v>
      </c>
      <c r="F24" s="2">
        <v>13311849</v>
      </c>
      <c r="G24" s="2">
        <v>4822648</v>
      </c>
      <c r="H24" s="2">
        <v>4237713</v>
      </c>
      <c r="I24" s="2">
        <v>7148808</v>
      </c>
      <c r="J24" s="2">
        <v>5676335</v>
      </c>
      <c r="K24" s="2">
        <v>5428661</v>
      </c>
      <c r="L24" s="2">
        <v>7457403</v>
      </c>
      <c r="M24" s="2">
        <v>7832955</v>
      </c>
      <c r="N24" s="2">
        <v>7317954</v>
      </c>
      <c r="O24" s="2">
        <v>17347376</v>
      </c>
      <c r="P24" s="6">
        <f t="shared" si="0"/>
        <v>107498971</v>
      </c>
    </row>
    <row r="25" spans="1:16">
      <c r="A25">
        <v>2021</v>
      </c>
      <c r="B25" t="s">
        <v>17</v>
      </c>
      <c r="C25" s="3" t="str">
        <f>_xlfn.XLOOKUP(B25, 'Revenue Codes'!$A$2:$A$99, 'Revenue Codes'!$B$2:$B$99, "")</f>
        <v xml:space="preserve">Import Duty </v>
      </c>
      <c r="D25" s="2">
        <v>10060091023.67</v>
      </c>
      <c r="E25" s="2">
        <v>8219225489.6099997</v>
      </c>
      <c r="F25" s="2">
        <v>9560771895.1399994</v>
      </c>
      <c r="G25" s="2">
        <v>3804015836.5799999</v>
      </c>
      <c r="H25" s="2">
        <v>4424634553.8800001</v>
      </c>
      <c r="I25" s="2">
        <v>4725924238.1999998</v>
      </c>
      <c r="J25" s="2">
        <v>15572758571.91</v>
      </c>
      <c r="K25" s="2">
        <v>4524843613.0200005</v>
      </c>
      <c r="L25" s="2">
        <v>-9079952597.4200001</v>
      </c>
      <c r="M25" s="2">
        <v>3680543867</v>
      </c>
      <c r="N25" s="2">
        <v>3637778188.21</v>
      </c>
      <c r="O25" s="2">
        <v>5208683742.3800001</v>
      </c>
      <c r="P25" s="6">
        <f t="shared" si="0"/>
        <v>64339318422.179993</v>
      </c>
    </row>
    <row r="26" spans="1:16">
      <c r="A26">
        <v>2021</v>
      </c>
      <c r="B26" t="s">
        <v>19</v>
      </c>
      <c r="C26" s="3" t="str">
        <f>_xlfn.XLOOKUP(B26, 'Revenue Codes'!$A$2:$A$99, 'Revenue Codes'!$B$2:$B$99, "")</f>
        <v xml:space="preserve">Export Duty </v>
      </c>
      <c r="D26" s="2">
        <v>2579082</v>
      </c>
      <c r="E26" s="2">
        <v>5945931</v>
      </c>
      <c r="F26" s="2">
        <v>13019171</v>
      </c>
      <c r="G26" s="2">
        <v>3016285</v>
      </c>
      <c r="H26" s="2">
        <v>3776831</v>
      </c>
      <c r="I26" s="2">
        <v>3450473</v>
      </c>
      <c r="J26" s="2">
        <v>2774288</v>
      </c>
      <c r="K26" s="2">
        <v>2133936</v>
      </c>
      <c r="L26" s="2">
        <v>1859767</v>
      </c>
      <c r="M26" s="2">
        <v>3272925</v>
      </c>
      <c r="N26" s="2">
        <v>2938189.15</v>
      </c>
      <c r="O26" s="2">
        <v>2655141</v>
      </c>
      <c r="P26" s="6">
        <f t="shared" si="0"/>
        <v>47422019.149999999</v>
      </c>
    </row>
    <row r="27" spans="1:16">
      <c r="A27">
        <v>2021</v>
      </c>
      <c r="B27" t="s">
        <v>20</v>
      </c>
      <c r="C27" s="3" t="str">
        <f>_xlfn.XLOOKUP(B27, 'Revenue Codes'!$A$2:$A$99, 'Revenue Codes'!$B$2:$B$99, "")</f>
        <v xml:space="preserve">PAL </v>
      </c>
      <c r="D27" s="2">
        <v>11347077683</v>
      </c>
      <c r="E27" s="2">
        <v>11305090020</v>
      </c>
      <c r="F27" s="2">
        <v>14259918777</v>
      </c>
      <c r="G27" s="2">
        <v>16902272138</v>
      </c>
      <c r="H27" s="2">
        <v>12577980342</v>
      </c>
      <c r="I27" s="2">
        <v>13115297432.549999</v>
      </c>
      <c r="J27" s="2">
        <v>234889193.34</v>
      </c>
      <c r="K27" s="2">
        <v>12290648139.35</v>
      </c>
      <c r="L27" s="2">
        <v>22101464620.779999</v>
      </c>
      <c r="M27" s="2">
        <v>11425529381.610001</v>
      </c>
      <c r="N27" s="2">
        <v>12706990572.049999</v>
      </c>
      <c r="O27" s="2">
        <v>15858090477.040001</v>
      </c>
      <c r="P27" s="6">
        <f t="shared" si="0"/>
        <v>154125248776.72</v>
      </c>
    </row>
    <row r="28" spans="1:16">
      <c r="A28">
        <v>2021</v>
      </c>
      <c r="B28" t="s">
        <v>41</v>
      </c>
      <c r="C28" s="3" t="str">
        <f>_xlfn.XLOOKUP(B28, 'Revenue Codes'!$A$2:$A$99, 'Revenue Codes'!$B$2:$B$99, "")</f>
        <v>Cess Levy</v>
      </c>
      <c r="E28" s="2">
        <v>570514</v>
      </c>
      <c r="F28" s="2">
        <v>2390420</v>
      </c>
      <c r="G28" s="2">
        <v>-2960934</v>
      </c>
      <c r="P28" s="6">
        <f t="shared" si="0"/>
        <v>0</v>
      </c>
    </row>
    <row r="29" spans="1:16">
      <c r="A29">
        <v>2021</v>
      </c>
      <c r="B29" t="s">
        <v>21</v>
      </c>
      <c r="C29" s="3" t="str">
        <f>_xlfn.XLOOKUP(B29, 'Revenue Codes'!$A$2:$A$99, 'Revenue Codes'!$B$2:$B$99, "")</f>
        <v xml:space="preserve">Cess (Import) </v>
      </c>
      <c r="D29" s="2">
        <v>5595225410</v>
      </c>
      <c r="E29" s="2">
        <v>6428597557</v>
      </c>
      <c r="F29" s="2">
        <v>6948979373</v>
      </c>
      <c r="G29" s="2">
        <v>7082274768</v>
      </c>
      <c r="H29" s="2">
        <v>5669275688</v>
      </c>
      <c r="I29" s="2">
        <v>6544115755.1499996</v>
      </c>
      <c r="J29" s="2">
        <v>5958917941.8699999</v>
      </c>
      <c r="K29" s="2">
        <v>5249124155.0100002</v>
      </c>
      <c r="L29" s="2">
        <v>5044193278.0799999</v>
      </c>
      <c r="M29" s="2">
        <v>5364638564.75</v>
      </c>
      <c r="N29" s="2">
        <v>6179305913.6700001</v>
      </c>
      <c r="O29" s="2">
        <v>7255564876</v>
      </c>
      <c r="P29" s="6">
        <f t="shared" si="0"/>
        <v>73320213280.529999</v>
      </c>
    </row>
    <row r="30" spans="1:16">
      <c r="A30">
        <v>2021</v>
      </c>
      <c r="B30" t="s">
        <v>22</v>
      </c>
      <c r="C30" s="3" t="str">
        <f>_xlfn.XLOOKUP(B30, 'Revenue Codes'!$A$2:$A$99, 'Revenue Codes'!$B$2:$B$99, "")</f>
        <v>Cess (Export)</v>
      </c>
      <c r="D30" s="2">
        <v>115466623</v>
      </c>
      <c r="E30" s="2">
        <v>154486610</v>
      </c>
      <c r="F30" s="2">
        <v>240069407</v>
      </c>
      <c r="G30" s="2">
        <v>200854802</v>
      </c>
      <c r="H30" s="2">
        <v>276456834</v>
      </c>
      <c r="I30" s="2">
        <v>225489295</v>
      </c>
      <c r="J30" s="2">
        <v>205535276</v>
      </c>
      <c r="K30" s="2">
        <v>338795592</v>
      </c>
      <c r="L30" s="2">
        <v>116786158</v>
      </c>
      <c r="M30" s="2">
        <v>-108734173</v>
      </c>
      <c r="N30" s="2">
        <v>208102609</v>
      </c>
      <c r="O30" s="2">
        <v>249976629</v>
      </c>
      <c r="P30" s="6">
        <f t="shared" si="0"/>
        <v>2223285662</v>
      </c>
    </row>
    <row r="31" spans="1:16" ht="30.75">
      <c r="A31">
        <v>2021</v>
      </c>
      <c r="B31" t="s">
        <v>23</v>
      </c>
      <c r="C31" s="3" t="str">
        <f>_xlfn.XLOOKUP(B31, 'Revenue Codes'!$A$2:$A$99, 'Revenue Codes'!$B$2:$B$99, "")</f>
        <v>Motor Vehicle (Conc.) Levy</v>
      </c>
      <c r="P31" s="6">
        <f t="shared" si="0"/>
        <v>0</v>
      </c>
    </row>
    <row r="32" spans="1:16">
      <c r="A32">
        <v>2021</v>
      </c>
      <c r="B32" t="s">
        <v>24</v>
      </c>
      <c r="C32" s="3" t="str">
        <f>_xlfn.XLOOKUP(B32, 'Revenue Codes'!$A$2:$A$99, 'Revenue Codes'!$B$2:$B$99, "")</f>
        <v>SCL</v>
      </c>
      <c r="D32" s="2">
        <v>5758218040</v>
      </c>
      <c r="E32" s="2">
        <v>4454940367</v>
      </c>
      <c r="F32" s="2">
        <v>5958205721</v>
      </c>
      <c r="G32" s="2">
        <v>4329117098</v>
      </c>
      <c r="H32" s="2">
        <v>3930159232</v>
      </c>
      <c r="I32" s="2">
        <v>3979297951</v>
      </c>
      <c r="J32" s="2">
        <v>5374773043.6400003</v>
      </c>
      <c r="K32" s="2">
        <v>4050553476</v>
      </c>
      <c r="L32" s="2">
        <v>4249166867</v>
      </c>
      <c r="M32" s="2">
        <v>3753900700</v>
      </c>
      <c r="N32" s="2">
        <v>5336497115</v>
      </c>
      <c r="O32" s="2">
        <v>4653043396</v>
      </c>
      <c r="P32" s="6">
        <f t="shared" si="0"/>
        <v>55827873006.639999</v>
      </c>
    </row>
    <row r="33" spans="1:16">
      <c r="A33">
        <v>2021</v>
      </c>
      <c r="B33" t="s">
        <v>25</v>
      </c>
      <c r="C33" s="3" t="str">
        <f>_xlfn.XLOOKUP(B33, 'Revenue Codes'!$A$2:$A$99, 'Revenue Codes'!$B$2:$B$99, "")</f>
        <v>LXT</v>
      </c>
      <c r="E33" s="2">
        <v>347141385</v>
      </c>
      <c r="F33" s="2">
        <v>619696</v>
      </c>
      <c r="I33" s="2">
        <v>46229322</v>
      </c>
      <c r="J33" s="2">
        <v>0</v>
      </c>
      <c r="K33" s="2">
        <v>0</v>
      </c>
      <c r="L33" s="2">
        <v>128214445</v>
      </c>
      <c r="M33" s="2">
        <v>261751350</v>
      </c>
      <c r="N33" s="2" t="s">
        <v>42</v>
      </c>
      <c r="O33" s="2">
        <v>-130453288</v>
      </c>
      <c r="P33" s="6">
        <f t="shared" si="0"/>
        <v>653502910</v>
      </c>
    </row>
    <row r="34" spans="1:16">
      <c r="A34">
        <v>2021</v>
      </c>
      <c r="B34" t="s">
        <v>26</v>
      </c>
      <c r="C34" s="3" t="str">
        <f>_xlfn.XLOOKUP(B34, 'Revenue Codes'!$A$2:$A$99, 'Revenue Codes'!$B$2:$B$99, "")</f>
        <v>VAT</v>
      </c>
      <c r="D34" s="2">
        <v>9263091587</v>
      </c>
      <c r="E34" s="2">
        <v>8658405592</v>
      </c>
      <c r="F34" s="2">
        <v>10861520571</v>
      </c>
      <c r="G34" s="2">
        <v>10624156667</v>
      </c>
      <c r="H34" s="2">
        <v>10696166888</v>
      </c>
      <c r="I34" s="2">
        <v>11243169555</v>
      </c>
      <c r="J34" s="2">
        <v>10141067143.379999</v>
      </c>
      <c r="K34" s="2">
        <v>9245092080.0699997</v>
      </c>
      <c r="L34" s="2">
        <v>9651623591</v>
      </c>
      <c r="M34" s="2">
        <v>10335028410</v>
      </c>
      <c r="N34" s="2">
        <v>10380248034</v>
      </c>
      <c r="O34" s="2">
        <v>11623553112.15</v>
      </c>
      <c r="P34" s="6">
        <f t="shared" si="0"/>
        <v>122723123230.60001</v>
      </c>
    </row>
    <row r="35" spans="1:16" ht="30.75">
      <c r="A35">
        <v>2021</v>
      </c>
      <c r="B35" t="s">
        <v>27</v>
      </c>
      <c r="C35" s="3" t="str">
        <f>_xlfn.XLOOKUP(B35, 'Revenue Codes'!$A$2:$A$99, 'Revenue Codes'!$B$2:$B$99, "")</f>
        <v>Excise (Spec. Prov.) Levy</v>
      </c>
      <c r="P35" s="6">
        <f t="shared" si="0"/>
        <v>0</v>
      </c>
    </row>
    <row r="36" spans="1:16">
      <c r="A36">
        <v>2021</v>
      </c>
      <c r="B36" t="s">
        <v>28</v>
      </c>
      <c r="C36" s="3" t="str">
        <f>_xlfn.XLOOKUP(B36, 'Revenue Codes'!$A$2:$A$99, 'Revenue Codes'!$B$2:$B$99, "")</f>
        <v>Cigarette</v>
      </c>
      <c r="D36" s="2">
        <v>3762950740</v>
      </c>
      <c r="E36" s="2">
        <v>6743799800</v>
      </c>
      <c r="F36" s="2">
        <v>7886301200</v>
      </c>
      <c r="G36" s="2">
        <v>9208929100</v>
      </c>
      <c r="H36" s="2">
        <v>9295915800</v>
      </c>
      <c r="I36" s="2">
        <v>5555444600</v>
      </c>
      <c r="J36" s="2">
        <v>5233077300</v>
      </c>
      <c r="K36" s="2">
        <v>7509640000</v>
      </c>
      <c r="L36" s="2">
        <v>7105069400</v>
      </c>
      <c r="M36" s="2">
        <v>6767520400</v>
      </c>
      <c r="N36" s="2">
        <v>12406569100</v>
      </c>
      <c r="O36" s="2">
        <v>7063623648</v>
      </c>
      <c r="P36" s="6">
        <f t="shared" si="0"/>
        <v>88538841088</v>
      </c>
    </row>
    <row r="37" spans="1:16">
      <c r="A37">
        <v>2021</v>
      </c>
      <c r="B37" t="s">
        <v>29</v>
      </c>
      <c r="C37" s="3" t="str">
        <f>_xlfn.XLOOKUP(B37, 'Revenue Codes'!$A$2:$A$99, 'Revenue Codes'!$B$2:$B$99, "")</f>
        <v>Liquor</v>
      </c>
      <c r="O37" s="2" t="s">
        <v>42</v>
      </c>
      <c r="P37" s="6">
        <f t="shared" si="0"/>
        <v>0</v>
      </c>
    </row>
    <row r="38" spans="1:16">
      <c r="A38">
        <v>2021</v>
      </c>
      <c r="B38" t="s">
        <v>30</v>
      </c>
      <c r="C38" s="3" t="str">
        <f>_xlfn.XLOOKUP(B38, 'Revenue Codes'!$A$2:$A$99, 'Revenue Codes'!$B$2:$B$99, "")</f>
        <v>Petroleum Products</v>
      </c>
      <c r="D38" s="2">
        <v>1389275895</v>
      </c>
      <c r="E38" s="2">
        <v>5788965619</v>
      </c>
      <c r="F38" s="2">
        <v>7902980851</v>
      </c>
      <c r="G38" s="2">
        <v>5571406988</v>
      </c>
      <c r="H38" s="2">
        <v>5636228905</v>
      </c>
      <c r="I38" s="2">
        <v>1153927982.28</v>
      </c>
      <c r="J38" s="2">
        <v>3309034033.0700002</v>
      </c>
      <c r="K38" s="2">
        <v>6734069171.0900002</v>
      </c>
      <c r="L38" s="2">
        <v>2130374176.55</v>
      </c>
      <c r="M38" s="2">
        <v>4438838930.6499996</v>
      </c>
      <c r="N38" s="2">
        <v>5802701637.9200001</v>
      </c>
      <c r="O38" s="2">
        <v>5481348630.4799995</v>
      </c>
      <c r="P38" s="6">
        <f t="shared" si="0"/>
        <v>55339152820.040009</v>
      </c>
    </row>
    <row r="39" spans="1:16">
      <c r="A39">
        <v>2021</v>
      </c>
      <c r="B39" t="s">
        <v>31</v>
      </c>
      <c r="C39" s="3" t="str">
        <f>_xlfn.XLOOKUP(B39, 'Revenue Codes'!$A$2:$A$99, 'Revenue Codes'!$B$2:$B$99, "")</f>
        <v>Motor Vehicles</v>
      </c>
      <c r="D39" s="2">
        <v>4984488863</v>
      </c>
      <c r="E39" s="2">
        <v>1816381558</v>
      </c>
      <c r="F39" s="2">
        <v>1029316874</v>
      </c>
      <c r="G39" s="2">
        <v>90823666</v>
      </c>
      <c r="H39" s="2">
        <v>586936467</v>
      </c>
      <c r="I39" s="2">
        <v>2052451929</v>
      </c>
      <c r="J39" s="2">
        <v>524886543</v>
      </c>
      <c r="K39" s="2">
        <v>499525573</v>
      </c>
      <c r="L39" s="2">
        <v>1640593021</v>
      </c>
      <c r="M39" s="2">
        <v>615333668</v>
      </c>
      <c r="N39" s="2">
        <v>662911331</v>
      </c>
      <c r="O39" s="2">
        <v>3609033687</v>
      </c>
      <c r="P39" s="6">
        <f t="shared" si="0"/>
        <v>18112683180</v>
      </c>
    </row>
    <row r="40" spans="1:16">
      <c r="A40">
        <v>2021</v>
      </c>
      <c r="B40" t="s">
        <v>32</v>
      </c>
      <c r="C40" s="3" t="str">
        <f>_xlfn.XLOOKUP(B40, 'Revenue Codes'!$A$2:$A$99, 'Revenue Codes'!$B$2:$B$99, "")</f>
        <v>Excise (Other)</v>
      </c>
      <c r="D40" s="2">
        <v>519728232</v>
      </c>
      <c r="E40" s="2">
        <v>580557990</v>
      </c>
      <c r="F40" s="2">
        <v>397187965</v>
      </c>
      <c r="G40" s="2">
        <v>1167300906</v>
      </c>
      <c r="H40" s="2">
        <v>342164159</v>
      </c>
      <c r="I40" s="2">
        <v>258238845</v>
      </c>
      <c r="J40" s="2">
        <v>786274114.69000006</v>
      </c>
      <c r="K40" s="2">
        <v>465725514</v>
      </c>
      <c r="L40" s="2">
        <v>46483920.18</v>
      </c>
      <c r="M40" s="2">
        <v>1178755441.24</v>
      </c>
      <c r="N40" s="2">
        <v>191590101</v>
      </c>
      <c r="O40" s="2">
        <v>299588695.36000001</v>
      </c>
      <c r="P40" s="6">
        <f t="shared" si="0"/>
        <v>6233595883.4700003</v>
      </c>
    </row>
    <row r="41" spans="1:16">
      <c r="A41">
        <v>2021</v>
      </c>
      <c r="B41" t="s">
        <v>33</v>
      </c>
      <c r="C41" s="3" t="str">
        <f>_xlfn.XLOOKUP(B41, 'Revenue Codes'!$A$2:$A$99, 'Revenue Codes'!$B$2:$B$99, "")</f>
        <v>NBT</v>
      </c>
      <c r="D41" s="2">
        <v>5360480</v>
      </c>
      <c r="E41" s="2">
        <v>878066</v>
      </c>
      <c r="F41" s="2">
        <v>1280460</v>
      </c>
      <c r="G41" s="2">
        <v>620762</v>
      </c>
      <c r="H41" s="2">
        <v>539949</v>
      </c>
      <c r="I41" s="2">
        <v>1831892</v>
      </c>
      <c r="J41" s="2">
        <v>5950686</v>
      </c>
      <c r="K41" s="2">
        <v>7212545</v>
      </c>
      <c r="L41" s="2">
        <v>661063</v>
      </c>
      <c r="M41" s="2">
        <v>11134499</v>
      </c>
      <c r="N41" s="2">
        <v>18472112</v>
      </c>
      <c r="O41" s="2">
        <v>25157883</v>
      </c>
      <c r="P41" s="6">
        <f t="shared" si="0"/>
        <v>79100397</v>
      </c>
    </row>
    <row r="42" spans="1:16">
      <c r="A42">
        <v>2021</v>
      </c>
      <c r="B42" t="s">
        <v>34</v>
      </c>
      <c r="C42" s="3" t="str">
        <f>_xlfn.XLOOKUP(B42, 'Revenue Codes'!$A$2:$A$99, 'Revenue Codes'!$B$2:$B$99, "")</f>
        <v>ECL</v>
      </c>
      <c r="D42" s="2">
        <v>49236</v>
      </c>
      <c r="I42" s="2">
        <v>500000</v>
      </c>
      <c r="K42" s="2" t="s">
        <v>42</v>
      </c>
      <c r="M42" s="2">
        <v>500000</v>
      </c>
      <c r="O42" s="2">
        <v>-1049236</v>
      </c>
      <c r="P42" s="6">
        <f t="shared" si="0"/>
        <v>0</v>
      </c>
    </row>
    <row r="43" spans="1:16">
      <c r="A43">
        <v>2021</v>
      </c>
      <c r="B43" t="s">
        <v>35</v>
      </c>
      <c r="C43" s="3" t="str">
        <f>_xlfn.XLOOKUP(B43, 'Revenue Codes'!$A$2:$A$99, 'Revenue Codes'!$B$2:$B$99, "")</f>
        <v>VEL</v>
      </c>
      <c r="D43" s="2">
        <v>5867000</v>
      </c>
      <c r="E43" s="2">
        <v>4387900</v>
      </c>
      <c r="F43" s="2">
        <v>5979210</v>
      </c>
      <c r="G43" s="2">
        <v>5177450</v>
      </c>
      <c r="H43" s="2">
        <v>7381000</v>
      </c>
      <c r="I43" s="2">
        <v>9164450</v>
      </c>
      <c r="J43" s="2">
        <v>7242000</v>
      </c>
      <c r="K43" s="2">
        <v>4071000</v>
      </c>
      <c r="L43" s="2">
        <v>10166882</v>
      </c>
      <c r="M43" s="2">
        <v>8816800</v>
      </c>
      <c r="N43" s="2">
        <v>3038550</v>
      </c>
      <c r="O43" s="2">
        <v>4411007</v>
      </c>
      <c r="P43" s="6">
        <f t="shared" si="0"/>
        <v>75703249</v>
      </c>
    </row>
    <row r="44" spans="1:16">
      <c r="A44">
        <v>2021</v>
      </c>
      <c r="B44" t="s">
        <v>36</v>
      </c>
      <c r="C44" s="3" t="str">
        <f>_xlfn.XLOOKUP(B44, 'Revenue Codes'!$A$2:$A$99, 'Revenue Codes'!$B$2:$B$99, "")</f>
        <v>ESC</v>
      </c>
      <c r="D44" s="2" t="s">
        <v>42</v>
      </c>
      <c r="E44" s="2">
        <v>295111</v>
      </c>
      <c r="F44" s="2" t="s">
        <v>42</v>
      </c>
      <c r="G44" s="2">
        <v>2563704</v>
      </c>
      <c r="H44" s="2">
        <v>459997</v>
      </c>
      <c r="I44" s="2">
        <v>1258412</v>
      </c>
      <c r="J44" s="2">
        <v>7311020</v>
      </c>
      <c r="K44" s="2">
        <v>12016748</v>
      </c>
      <c r="L44" s="2">
        <v>4225117</v>
      </c>
      <c r="M44" s="2">
        <v>8597427</v>
      </c>
      <c r="N44" s="2">
        <v>3675228</v>
      </c>
      <c r="O44" s="2">
        <v>2290251</v>
      </c>
      <c r="P44" s="6">
        <f t="shared" si="0"/>
        <v>42693015</v>
      </c>
    </row>
    <row r="45" spans="1:16">
      <c r="A45">
        <v>2021</v>
      </c>
      <c r="B45" t="s">
        <v>37</v>
      </c>
      <c r="C45" s="3" t="str">
        <f>_xlfn.XLOOKUP(B45, 'Revenue Codes'!$A$2:$A$99, 'Revenue Codes'!$B$2:$B$99, "")</f>
        <v>Sales of Garment</v>
      </c>
      <c r="D45" s="2">
        <v>6265463</v>
      </c>
      <c r="E45" s="2">
        <v>9937957</v>
      </c>
      <c r="F45" s="2">
        <v>36755607</v>
      </c>
      <c r="G45" s="2">
        <v>11188235</v>
      </c>
      <c r="H45" s="2">
        <v>9754808</v>
      </c>
      <c r="I45" s="2">
        <v>8937774.8800000008</v>
      </c>
      <c r="J45" s="2">
        <v>5323553</v>
      </c>
      <c r="K45" s="2">
        <v>3396992</v>
      </c>
      <c r="L45" s="2">
        <v>2675325</v>
      </c>
      <c r="M45" s="2">
        <v>13653725</v>
      </c>
      <c r="N45" s="2">
        <v>27122320</v>
      </c>
      <c r="O45" s="2">
        <v>9669826</v>
      </c>
      <c r="P45" s="6">
        <f t="shared" si="0"/>
        <v>144681585.88</v>
      </c>
    </row>
    <row r="46" spans="1:16">
      <c r="A46">
        <v>2021</v>
      </c>
      <c r="B46" t="s">
        <v>38</v>
      </c>
      <c r="C46" s="3" t="str">
        <f>_xlfn.XLOOKUP(B46, 'Revenue Codes'!$A$2:$A$99, 'Revenue Codes'!$B$2:$B$99, "")</f>
        <v>Fine &amp; Forfeits</v>
      </c>
      <c r="D46" s="2">
        <v>58122612</v>
      </c>
      <c r="E46" s="2">
        <v>24513603</v>
      </c>
      <c r="F46" s="2">
        <v>99856111</v>
      </c>
      <c r="G46" s="2">
        <v>84444328</v>
      </c>
      <c r="H46" s="2">
        <v>38077395</v>
      </c>
      <c r="I46" s="2">
        <v>82362190.019999996</v>
      </c>
      <c r="J46" s="2">
        <v>182632042.21000001</v>
      </c>
      <c r="K46" s="2">
        <v>100903472.67</v>
      </c>
      <c r="L46" s="2">
        <v>93749801.620000005</v>
      </c>
      <c r="M46" s="2">
        <v>2837025466.1399999</v>
      </c>
      <c r="N46" s="2">
        <v>208441627.09</v>
      </c>
      <c r="O46" s="2">
        <v>281158260.76999998</v>
      </c>
      <c r="P46" s="6">
        <f t="shared" si="0"/>
        <v>4091286909.52</v>
      </c>
    </row>
    <row r="47" spans="1:16">
      <c r="A47">
        <v>2021</v>
      </c>
      <c r="B47" t="s">
        <v>39</v>
      </c>
      <c r="C47" s="3" t="str">
        <f>_xlfn.XLOOKUP(B47, 'Revenue Codes'!$A$2:$A$99, 'Revenue Codes'!$B$2:$B$99, "")</f>
        <v>Sundris &amp; Others</v>
      </c>
      <c r="D47" s="2">
        <v>7470622</v>
      </c>
      <c r="E47" s="2">
        <v>22112973</v>
      </c>
      <c r="F47" s="2">
        <v>17494065</v>
      </c>
      <c r="G47" s="2">
        <v>13730961</v>
      </c>
      <c r="H47" s="2">
        <v>25877894</v>
      </c>
      <c r="I47" s="2">
        <v>32493381</v>
      </c>
      <c r="J47" s="2">
        <v>27025441</v>
      </c>
      <c r="K47" s="2">
        <v>19756821.370000001</v>
      </c>
      <c r="L47" s="2">
        <v>20852093</v>
      </c>
      <c r="M47" s="2">
        <v>18407806</v>
      </c>
      <c r="N47" s="2">
        <v>22196276</v>
      </c>
      <c r="O47" s="2">
        <v>25618724.550000001</v>
      </c>
      <c r="P47" s="6">
        <f t="shared" si="0"/>
        <v>253037057.92000002</v>
      </c>
    </row>
    <row r="48" spans="1:16">
      <c r="A48">
        <v>2021</v>
      </c>
      <c r="B48" t="s">
        <v>40</v>
      </c>
      <c r="C48" s="3" t="str">
        <f>_xlfn.XLOOKUP(B48, 'Revenue Codes'!$A$2:$A$99, 'Revenue Codes'!$B$2:$B$99, "")</f>
        <v>Other Receipts</v>
      </c>
      <c r="D48" s="2">
        <v>10260279</v>
      </c>
      <c r="E48" s="2">
        <v>10083640</v>
      </c>
      <c r="F48" s="2">
        <v>15756000</v>
      </c>
      <c r="G48" s="2">
        <v>13703648</v>
      </c>
      <c r="H48" s="2">
        <v>11476970</v>
      </c>
      <c r="I48" s="2">
        <v>12683365</v>
      </c>
      <c r="J48" s="2">
        <v>-5790091178</v>
      </c>
      <c r="K48" s="2">
        <v>38998188.130000003</v>
      </c>
      <c r="L48" s="2">
        <v>14223123</v>
      </c>
      <c r="M48" s="2">
        <v>5818529791</v>
      </c>
      <c r="N48" s="2">
        <v>10800057</v>
      </c>
      <c r="O48" s="2">
        <v>14246018.5</v>
      </c>
      <c r="P48" s="6">
        <f t="shared" si="0"/>
        <v>180669901.63000011</v>
      </c>
    </row>
    <row r="49" spans="1:16">
      <c r="A49">
        <v>2022</v>
      </c>
      <c r="B49" t="s">
        <v>17</v>
      </c>
      <c r="C49" s="3" t="str">
        <f>_xlfn.XLOOKUP(B49, 'Revenue Codes'!$A$2:$A$99, 'Revenue Codes'!$B$2:$B$99, "")</f>
        <v xml:space="preserve">Import Duty </v>
      </c>
      <c r="D49" s="2">
        <v>3357181699.9000001</v>
      </c>
      <c r="E49" s="2">
        <v>4794492846.1400003</v>
      </c>
      <c r="F49" s="2">
        <v>4837200840.2299995</v>
      </c>
      <c r="G49" s="2">
        <v>4516515080.9300003</v>
      </c>
      <c r="H49" s="2">
        <v>4480917855.1999998</v>
      </c>
      <c r="I49" s="2">
        <v>3134377873.5</v>
      </c>
      <c r="J49" s="2">
        <v>3053158748.6100001</v>
      </c>
      <c r="K49" s="2">
        <v>3373256625.79</v>
      </c>
      <c r="L49" s="2">
        <v>3411436253.4499998</v>
      </c>
      <c r="M49" s="2">
        <v>3781809224</v>
      </c>
      <c r="N49" s="2">
        <v>4101388629.4699998</v>
      </c>
      <c r="O49" s="2">
        <v>3820667213.6700001</v>
      </c>
      <c r="P49" s="6">
        <f t="shared" si="0"/>
        <v>46662402890.889999</v>
      </c>
    </row>
    <row r="50" spans="1:16">
      <c r="A50">
        <v>2022</v>
      </c>
      <c r="B50" t="s">
        <v>43</v>
      </c>
      <c r="C50" s="3" t="str">
        <f>_xlfn.XLOOKUP(B50, 'Revenue Codes'!$A$2:$A$99, 'Revenue Codes'!$B$2:$B$99, "")</f>
        <v>Surcharge (Import)</v>
      </c>
      <c r="I50" s="2">
        <v>320462185</v>
      </c>
      <c r="J50" s="2">
        <v>388864207</v>
      </c>
      <c r="K50" s="2">
        <v>499176482</v>
      </c>
      <c r="L50" s="2">
        <v>419648498</v>
      </c>
      <c r="M50" s="2">
        <v>454188728</v>
      </c>
      <c r="N50" s="2">
        <v>678154465</v>
      </c>
      <c r="O50" s="2">
        <v>586543895</v>
      </c>
      <c r="P50" s="6">
        <f t="shared" si="0"/>
        <v>3347038460</v>
      </c>
    </row>
    <row r="51" spans="1:16">
      <c r="A51">
        <v>2022</v>
      </c>
      <c r="B51" t="s">
        <v>19</v>
      </c>
      <c r="C51" s="3" t="str">
        <f>_xlfn.XLOOKUP(B51, 'Revenue Codes'!$A$2:$A$99, 'Revenue Codes'!$B$2:$B$99, "")</f>
        <v xml:space="preserve">Export Duty </v>
      </c>
      <c r="D51" s="2">
        <v>1133608</v>
      </c>
      <c r="E51" s="2">
        <v>1696628</v>
      </c>
      <c r="F51" s="2">
        <v>1563839</v>
      </c>
      <c r="G51" s="2">
        <v>585373</v>
      </c>
      <c r="H51" s="2">
        <v>1812126</v>
      </c>
      <c r="I51" s="2">
        <v>3709545</v>
      </c>
      <c r="J51" s="2">
        <v>20373932</v>
      </c>
      <c r="K51" s="2">
        <v>4111356</v>
      </c>
      <c r="L51" s="2">
        <v>2315517</v>
      </c>
      <c r="M51" s="2">
        <v>1001619</v>
      </c>
      <c r="N51" s="2">
        <v>1464022</v>
      </c>
      <c r="O51" s="2">
        <v>1551296</v>
      </c>
      <c r="P51" s="6">
        <f t="shared" si="0"/>
        <v>41318861</v>
      </c>
    </row>
    <row r="52" spans="1:16">
      <c r="A52">
        <v>2022</v>
      </c>
      <c r="B52" t="s">
        <v>20</v>
      </c>
      <c r="C52" s="3" t="str">
        <f>_xlfn.XLOOKUP(B52, 'Revenue Codes'!$A$2:$A$99, 'Revenue Codes'!$B$2:$B$99, "")</f>
        <v xml:space="preserve">PAL </v>
      </c>
      <c r="D52" s="2">
        <v>11922966955</v>
      </c>
      <c r="E52" s="2">
        <v>14014910944</v>
      </c>
      <c r="F52" s="2">
        <v>17557659730</v>
      </c>
      <c r="G52" s="2">
        <v>19137188056</v>
      </c>
      <c r="H52" s="2">
        <v>17969416283</v>
      </c>
      <c r="I52" s="2">
        <v>13401247201.51</v>
      </c>
      <c r="J52" s="2">
        <v>13457607265.639999</v>
      </c>
      <c r="K52" s="2">
        <v>15379618277.690001</v>
      </c>
      <c r="L52" s="2">
        <v>12593017606</v>
      </c>
      <c r="M52" s="2">
        <v>13624463639</v>
      </c>
      <c r="N52" s="2">
        <v>17287247128</v>
      </c>
      <c r="O52" s="2">
        <v>14250081450</v>
      </c>
      <c r="P52" s="6">
        <f t="shared" si="0"/>
        <v>180595424535.84</v>
      </c>
    </row>
    <row r="53" spans="1:16">
      <c r="A53">
        <v>2022</v>
      </c>
      <c r="B53" t="s">
        <v>41</v>
      </c>
      <c r="C53" s="3" t="str">
        <f>_xlfn.XLOOKUP(B53, 'Revenue Codes'!$A$2:$A$99, 'Revenue Codes'!$B$2:$B$99, "")</f>
        <v>Cess Levy</v>
      </c>
      <c r="D53" s="2">
        <v>1326478</v>
      </c>
      <c r="E53" s="2">
        <v>21084</v>
      </c>
      <c r="F53" s="2">
        <v>-149169</v>
      </c>
      <c r="G53" s="2">
        <v>366900</v>
      </c>
      <c r="H53" s="2">
        <v>167500</v>
      </c>
      <c r="M53" s="2">
        <v>74361</v>
      </c>
      <c r="O53" s="2">
        <v>-1807154</v>
      </c>
      <c r="P53" s="6">
        <f t="shared" si="0"/>
        <v>0</v>
      </c>
    </row>
    <row r="54" spans="1:16">
      <c r="A54">
        <v>2022</v>
      </c>
      <c r="B54" t="s">
        <v>21</v>
      </c>
      <c r="C54" s="3" t="str">
        <f>_xlfn.XLOOKUP(B54, 'Revenue Codes'!$A$2:$A$99, 'Revenue Codes'!$B$2:$B$99, "")</f>
        <v xml:space="preserve">Cess (Import) </v>
      </c>
      <c r="D54" s="2">
        <v>3203690</v>
      </c>
      <c r="E54" s="2">
        <v>6991562039</v>
      </c>
      <c r="F54" s="2">
        <v>15053975331</v>
      </c>
      <c r="G54" s="2">
        <v>6486788609</v>
      </c>
      <c r="H54" s="2">
        <v>4582176117</v>
      </c>
      <c r="I54" s="2">
        <v>4710454572.1599998</v>
      </c>
      <c r="J54" s="2">
        <v>3973721127.3400002</v>
      </c>
      <c r="K54" s="2">
        <v>4767532187.4399996</v>
      </c>
      <c r="L54" s="2">
        <v>4462805094</v>
      </c>
      <c r="M54" s="2">
        <v>5084861984</v>
      </c>
      <c r="N54" s="2">
        <v>5963884404</v>
      </c>
      <c r="O54" s="2">
        <v>5994102155</v>
      </c>
      <c r="P54" s="6">
        <f t="shared" si="0"/>
        <v>68075067309.940002</v>
      </c>
    </row>
    <row r="55" spans="1:16">
      <c r="A55">
        <v>2022</v>
      </c>
      <c r="B55" t="s">
        <v>22</v>
      </c>
      <c r="C55" s="3" t="str">
        <f>_xlfn.XLOOKUP(B55, 'Revenue Codes'!$A$2:$A$99, 'Revenue Codes'!$B$2:$B$99, "")</f>
        <v>Cess (Export)</v>
      </c>
      <c r="D55" s="2">
        <v>170128220</v>
      </c>
      <c r="E55" s="2">
        <v>199907129</v>
      </c>
      <c r="F55" s="2">
        <v>186589506</v>
      </c>
      <c r="G55" s="2">
        <v>143298171</v>
      </c>
      <c r="H55" s="2">
        <v>226107405</v>
      </c>
      <c r="I55" s="2">
        <v>189142155</v>
      </c>
      <c r="J55" s="2">
        <v>161127204</v>
      </c>
      <c r="K55" s="2">
        <v>202537109</v>
      </c>
      <c r="L55" s="2">
        <v>240408262</v>
      </c>
      <c r="M55" s="2">
        <v>203617216</v>
      </c>
      <c r="N55" s="2">
        <v>162790214</v>
      </c>
      <c r="O55" s="2">
        <v>156902493</v>
      </c>
      <c r="P55" s="6">
        <f t="shared" si="0"/>
        <v>2242555084</v>
      </c>
    </row>
    <row r="56" spans="1:16" ht="30.75">
      <c r="A56">
        <v>2022</v>
      </c>
      <c r="B56" t="s">
        <v>23</v>
      </c>
      <c r="C56" s="3" t="str">
        <f>_xlfn.XLOOKUP(B56, 'Revenue Codes'!$A$2:$A$99, 'Revenue Codes'!$B$2:$B$99, "")</f>
        <v>Motor Vehicle (Conc.) Levy</v>
      </c>
      <c r="E56" s="2">
        <v>74486</v>
      </c>
      <c r="K56" s="2">
        <v>-74486</v>
      </c>
      <c r="P56" s="6">
        <f t="shared" si="0"/>
        <v>0</v>
      </c>
    </row>
    <row r="57" spans="1:16">
      <c r="A57">
        <v>2022</v>
      </c>
      <c r="B57" t="s">
        <v>24</v>
      </c>
      <c r="C57" s="3" t="str">
        <f>_xlfn.XLOOKUP(B57, 'Revenue Codes'!$A$2:$A$99, 'Revenue Codes'!$B$2:$B$99, "")</f>
        <v>SCL</v>
      </c>
      <c r="D57" s="2">
        <v>4251660735</v>
      </c>
      <c r="E57" s="2">
        <v>3348506009</v>
      </c>
      <c r="F57" s="2">
        <v>5148969141</v>
      </c>
      <c r="G57" s="2">
        <v>3047537613</v>
      </c>
      <c r="H57" s="2">
        <v>2138202445</v>
      </c>
      <c r="I57" s="2">
        <v>2418760819</v>
      </c>
      <c r="J57" s="2">
        <v>2254892259</v>
      </c>
      <c r="K57" s="2">
        <v>2914828621.5</v>
      </c>
      <c r="L57" s="2">
        <v>3708371453</v>
      </c>
      <c r="M57" s="2">
        <v>3823243664</v>
      </c>
      <c r="N57" s="2">
        <v>3633255415</v>
      </c>
      <c r="O57" s="2">
        <v>3505510980</v>
      </c>
      <c r="P57" s="6">
        <f t="shared" si="0"/>
        <v>40193739154.5</v>
      </c>
    </row>
    <row r="58" spans="1:16">
      <c r="A58">
        <v>2022</v>
      </c>
      <c r="B58" t="s">
        <v>25</v>
      </c>
      <c r="C58" s="3" t="str">
        <f>_xlfn.XLOOKUP(B58, 'Revenue Codes'!$A$2:$A$99, 'Revenue Codes'!$B$2:$B$99, "")</f>
        <v>LXT</v>
      </c>
      <c r="D58" s="2" t="s">
        <v>42</v>
      </c>
      <c r="E58" s="2" t="s">
        <v>42</v>
      </c>
      <c r="F58" s="2">
        <v>36072111</v>
      </c>
      <c r="G58" s="2" t="s">
        <v>42</v>
      </c>
      <c r="H58" s="2">
        <v>20993387</v>
      </c>
      <c r="I58" s="2">
        <v>178542802</v>
      </c>
      <c r="J58" s="2">
        <v>0</v>
      </c>
      <c r="K58" s="2">
        <v>131128769</v>
      </c>
      <c r="L58" s="2">
        <v>63093249</v>
      </c>
      <c r="M58" s="2">
        <v>8163330</v>
      </c>
      <c r="N58" s="2">
        <v>17582787</v>
      </c>
      <c r="O58" s="2">
        <v>411845284</v>
      </c>
      <c r="P58" s="6">
        <f t="shared" si="0"/>
        <v>867421719</v>
      </c>
    </row>
    <row r="59" spans="1:16">
      <c r="A59">
        <v>2022</v>
      </c>
      <c r="B59" t="s">
        <v>26</v>
      </c>
      <c r="C59" s="3" t="str">
        <f>_xlfn.XLOOKUP(B59, 'Revenue Codes'!$A$2:$A$99, 'Revenue Codes'!$B$2:$B$99, "")</f>
        <v>VAT</v>
      </c>
      <c r="D59" s="2">
        <v>11579443378</v>
      </c>
      <c r="E59" s="2">
        <v>11564228149</v>
      </c>
      <c r="F59" s="2">
        <v>14160090415</v>
      </c>
      <c r="G59" s="2">
        <v>13635575282</v>
      </c>
      <c r="H59" s="2">
        <v>11283314742</v>
      </c>
      <c r="I59" s="2">
        <v>14227881264</v>
      </c>
      <c r="J59" s="2">
        <v>12710794278.799999</v>
      </c>
      <c r="K59" s="2">
        <v>13755651975.73</v>
      </c>
      <c r="L59" s="2">
        <v>14025522104</v>
      </c>
      <c r="M59" s="2">
        <v>17593941322</v>
      </c>
      <c r="N59" s="2">
        <v>18658532462</v>
      </c>
      <c r="O59" s="2">
        <v>17694802907</v>
      </c>
      <c r="P59" s="6">
        <f t="shared" si="0"/>
        <v>170889778279.53</v>
      </c>
    </row>
    <row r="60" spans="1:16" ht="30.75">
      <c r="A60">
        <v>2022</v>
      </c>
      <c r="B60" t="s">
        <v>27</v>
      </c>
      <c r="C60" s="3" t="str">
        <f>_xlfn.XLOOKUP(B60, 'Revenue Codes'!$A$2:$A$99, 'Revenue Codes'!$B$2:$B$99, "")</f>
        <v>Excise (Spec. Prov.) Levy</v>
      </c>
      <c r="P60" s="6">
        <f t="shared" si="0"/>
        <v>0</v>
      </c>
    </row>
    <row r="61" spans="1:16">
      <c r="A61">
        <v>2022</v>
      </c>
      <c r="B61" t="s">
        <v>28</v>
      </c>
      <c r="C61" s="3" t="str">
        <f>_xlfn.XLOOKUP(B61, 'Revenue Codes'!$A$2:$A$99, 'Revenue Codes'!$B$2:$B$99, "")</f>
        <v>Cigarette</v>
      </c>
      <c r="D61" s="2">
        <v>13711591188</v>
      </c>
      <c r="E61" s="2">
        <v>6636233927</v>
      </c>
      <c r="F61" s="2">
        <v>4714438546</v>
      </c>
      <c r="G61" s="2">
        <v>7900000000</v>
      </c>
      <c r="H61" s="2">
        <v>8737432832</v>
      </c>
      <c r="J61" s="2">
        <v>19670036100</v>
      </c>
      <c r="K61" s="2">
        <v>8824681890</v>
      </c>
      <c r="L61" s="2">
        <v>12435814600</v>
      </c>
      <c r="M61" s="2">
        <v>5705179000</v>
      </c>
      <c r="N61" s="2">
        <v>6545398923</v>
      </c>
      <c r="O61" s="2">
        <v>9279254900</v>
      </c>
      <c r="P61" s="6">
        <f t="shared" si="0"/>
        <v>104160061906</v>
      </c>
    </row>
    <row r="62" spans="1:16">
      <c r="A62">
        <v>2022</v>
      </c>
      <c r="B62" t="s">
        <v>29</v>
      </c>
      <c r="C62" s="3" t="str">
        <f>_xlfn.XLOOKUP(B62, 'Revenue Codes'!$A$2:$A$99, 'Revenue Codes'!$B$2:$B$99, "")</f>
        <v>Liquor</v>
      </c>
      <c r="P62" s="6">
        <f t="shared" si="0"/>
        <v>0</v>
      </c>
    </row>
    <row r="63" spans="1:16">
      <c r="A63">
        <v>2022</v>
      </c>
      <c r="B63" t="s">
        <v>30</v>
      </c>
      <c r="C63" s="3" t="str">
        <f>_xlfn.XLOOKUP(B63, 'Revenue Codes'!$A$2:$A$99, 'Revenue Codes'!$B$2:$B$99, "")</f>
        <v>Petroleum Products</v>
      </c>
      <c r="D63" s="2">
        <v>3478669708</v>
      </c>
      <c r="E63" s="2">
        <v>5012150056</v>
      </c>
      <c r="F63" s="2">
        <v>1100253168</v>
      </c>
      <c r="G63" s="2">
        <v>6854963822</v>
      </c>
      <c r="H63" s="2">
        <v>7144789798</v>
      </c>
      <c r="I63" s="2">
        <v>2918448406.8699999</v>
      </c>
      <c r="J63" s="2">
        <v>6077802895.1199999</v>
      </c>
      <c r="K63" s="2">
        <v>2747114481.04</v>
      </c>
      <c r="L63" s="2">
        <v>1330601475</v>
      </c>
      <c r="M63" s="2">
        <v>4578596517</v>
      </c>
      <c r="N63" s="2">
        <v>3478432480.0900002</v>
      </c>
      <c r="O63" s="2">
        <v>8351711316</v>
      </c>
      <c r="P63" s="6">
        <f t="shared" si="0"/>
        <v>53073534123.119995</v>
      </c>
    </row>
    <row r="64" spans="1:16">
      <c r="A64">
        <v>2022</v>
      </c>
      <c r="B64" t="s">
        <v>31</v>
      </c>
      <c r="C64" s="3" t="str">
        <f>_xlfn.XLOOKUP(B64, 'Revenue Codes'!$A$2:$A$99, 'Revenue Codes'!$B$2:$B$99, "")</f>
        <v>Motor Vehicles</v>
      </c>
      <c r="D64" s="2">
        <v>1273416475</v>
      </c>
      <c r="E64" s="2">
        <v>2453102705</v>
      </c>
      <c r="F64" s="2">
        <v>6938569404</v>
      </c>
      <c r="G64" s="2">
        <v>459464330</v>
      </c>
      <c r="H64" s="2">
        <v>434787492</v>
      </c>
      <c r="I64" s="2">
        <v>570865630</v>
      </c>
      <c r="J64" s="2">
        <v>375019903</v>
      </c>
      <c r="K64" s="2">
        <v>1016340024</v>
      </c>
      <c r="L64" s="2">
        <v>150320848</v>
      </c>
      <c r="M64" s="2">
        <v>223500498</v>
      </c>
      <c r="N64" s="2">
        <v>249534127</v>
      </c>
      <c r="O64" s="2">
        <v>358660643</v>
      </c>
      <c r="P64" s="6">
        <f t="shared" si="0"/>
        <v>14503582079</v>
      </c>
    </row>
    <row r="65" spans="1:16">
      <c r="A65">
        <v>2022</v>
      </c>
      <c r="B65" t="s">
        <v>32</v>
      </c>
      <c r="C65" s="3" t="str">
        <f>_xlfn.XLOOKUP(B65, 'Revenue Codes'!$A$2:$A$99, 'Revenue Codes'!$B$2:$B$99, "")</f>
        <v>Excise (Other)</v>
      </c>
      <c r="D65" s="2">
        <v>710986943</v>
      </c>
      <c r="E65" s="2">
        <v>276558232</v>
      </c>
      <c r="F65" s="2">
        <v>489583934</v>
      </c>
      <c r="G65" s="2">
        <v>814019479</v>
      </c>
      <c r="H65" s="2">
        <v>537349814</v>
      </c>
      <c r="I65" s="2">
        <v>399569001</v>
      </c>
      <c r="J65" s="2">
        <v>536751120.80000001</v>
      </c>
      <c r="K65" s="2">
        <v>596821413.04999995</v>
      </c>
      <c r="L65" s="2">
        <v>215852793</v>
      </c>
      <c r="M65" s="2">
        <v>782177649</v>
      </c>
      <c r="N65" s="2">
        <v>119485973</v>
      </c>
      <c r="O65" s="2">
        <v>119257142</v>
      </c>
      <c r="P65" s="6">
        <f t="shared" si="0"/>
        <v>5598413493.8500004</v>
      </c>
    </row>
    <row r="66" spans="1:16">
      <c r="A66">
        <v>2022</v>
      </c>
      <c r="B66" t="s">
        <v>33</v>
      </c>
      <c r="C66" s="3" t="str">
        <f>_xlfn.XLOOKUP(B66, 'Revenue Codes'!$A$2:$A$99, 'Revenue Codes'!$B$2:$B$99, "")</f>
        <v>NBT</v>
      </c>
      <c r="D66" s="2">
        <v>646311</v>
      </c>
      <c r="E66" s="2">
        <v>1557566</v>
      </c>
      <c r="F66" s="2">
        <v>441975</v>
      </c>
      <c r="G66" s="2">
        <v>10748230</v>
      </c>
      <c r="H66" s="2">
        <v>931028</v>
      </c>
      <c r="I66" s="2">
        <v>16071680</v>
      </c>
      <c r="J66" s="2">
        <v>341071</v>
      </c>
      <c r="K66" s="2">
        <v>171500</v>
      </c>
      <c r="L66" s="2">
        <v>3987032</v>
      </c>
      <c r="M66" s="2">
        <v>12646482</v>
      </c>
      <c r="N66" s="2">
        <v>1354619</v>
      </c>
      <c r="O66" s="2">
        <v>5651337</v>
      </c>
      <c r="P66" s="6">
        <f t="shared" si="0"/>
        <v>54548831</v>
      </c>
    </row>
    <row r="67" spans="1:16">
      <c r="A67">
        <v>2022</v>
      </c>
      <c r="B67" t="s">
        <v>44</v>
      </c>
      <c r="C67" s="3" t="str">
        <f>_xlfn.XLOOKUP(B67, 'Revenue Codes'!$A$2:$A$99, 'Revenue Codes'!$B$2:$B$99, "")</f>
        <v>SSCL</v>
      </c>
      <c r="M67" s="2">
        <v>3488216361</v>
      </c>
      <c r="N67" s="2">
        <v>4681472307</v>
      </c>
      <c r="O67" s="2">
        <v>4499520547</v>
      </c>
      <c r="P67" s="6">
        <f t="shared" ref="P67:P130" si="1">SUM(D67:O67)</f>
        <v>12669209215</v>
      </c>
    </row>
    <row r="68" spans="1:16">
      <c r="A68">
        <v>2022</v>
      </c>
      <c r="B68" t="s">
        <v>34</v>
      </c>
      <c r="C68" s="3" t="str">
        <f>_xlfn.XLOOKUP(B68, 'Revenue Codes'!$A$2:$A$99, 'Revenue Codes'!$B$2:$B$99, "")</f>
        <v>ECL</v>
      </c>
      <c r="P68" s="6">
        <f t="shared" si="1"/>
        <v>0</v>
      </c>
    </row>
    <row r="69" spans="1:16">
      <c r="A69">
        <v>2022</v>
      </c>
      <c r="B69" t="s">
        <v>35</v>
      </c>
      <c r="C69" s="3" t="str">
        <f>_xlfn.XLOOKUP(B69, 'Revenue Codes'!$A$2:$A$99, 'Revenue Codes'!$B$2:$B$99, "")</f>
        <v>VEL</v>
      </c>
      <c r="D69" s="2">
        <v>64388475</v>
      </c>
      <c r="E69" s="2">
        <v>9496346</v>
      </c>
      <c r="F69" s="2">
        <v>1918350</v>
      </c>
      <c r="G69" s="2">
        <v>2013210</v>
      </c>
      <c r="H69" s="2">
        <v>638270</v>
      </c>
      <c r="I69" s="2">
        <v>872274</v>
      </c>
      <c r="J69" s="2">
        <v>613000</v>
      </c>
      <c r="K69" s="2">
        <v>924500</v>
      </c>
      <c r="L69" s="2">
        <v>937500</v>
      </c>
      <c r="M69" s="2">
        <v>11588000</v>
      </c>
      <c r="N69" s="2">
        <v>7607886</v>
      </c>
      <c r="O69" s="2">
        <v>7006991</v>
      </c>
      <c r="P69" s="6">
        <f t="shared" si="1"/>
        <v>108004802</v>
      </c>
    </row>
    <row r="70" spans="1:16">
      <c r="A70">
        <v>2022</v>
      </c>
      <c r="B70" t="s">
        <v>36</v>
      </c>
      <c r="C70" s="3" t="str">
        <f>_xlfn.XLOOKUP(B70, 'Revenue Codes'!$A$2:$A$99, 'Revenue Codes'!$B$2:$B$99, "")</f>
        <v>ESC</v>
      </c>
      <c r="D70" s="2">
        <v>20812212</v>
      </c>
      <c r="E70" s="2">
        <v>3666490</v>
      </c>
      <c r="F70" s="2">
        <v>1038473</v>
      </c>
      <c r="G70" s="2">
        <v>475318</v>
      </c>
      <c r="H70" s="2">
        <v>14357</v>
      </c>
      <c r="I70" s="2">
        <v>988112</v>
      </c>
      <c r="J70" s="2">
        <v>20551</v>
      </c>
      <c r="K70" s="2">
        <v>239702</v>
      </c>
      <c r="L70" s="2">
        <v>112877</v>
      </c>
      <c r="M70" s="2">
        <v>354590</v>
      </c>
      <c r="P70" s="6">
        <f t="shared" si="1"/>
        <v>27722682</v>
      </c>
    </row>
    <row r="71" spans="1:16">
      <c r="A71">
        <v>2022</v>
      </c>
      <c r="B71" t="s">
        <v>37</v>
      </c>
      <c r="C71" s="3" t="str">
        <f>_xlfn.XLOOKUP(B71, 'Revenue Codes'!$A$2:$A$99, 'Revenue Codes'!$B$2:$B$99, "")</f>
        <v>Sales of Garment</v>
      </c>
      <c r="D71" s="2">
        <v>11419777</v>
      </c>
      <c r="E71" s="2">
        <v>36987775</v>
      </c>
      <c r="F71" s="2">
        <v>19445298</v>
      </c>
      <c r="G71" s="2">
        <v>7414617</v>
      </c>
      <c r="H71" s="2">
        <v>9268859</v>
      </c>
      <c r="I71" s="2">
        <v>8874825</v>
      </c>
      <c r="J71" s="2">
        <v>12648250</v>
      </c>
      <c r="K71" s="2">
        <v>13326800</v>
      </c>
      <c r="L71" s="2">
        <v>15825025</v>
      </c>
      <c r="M71" s="2">
        <v>20778200</v>
      </c>
      <c r="N71" s="2">
        <v>21454431</v>
      </c>
      <c r="O71" s="2">
        <v>18756533</v>
      </c>
      <c r="P71" s="6">
        <f t="shared" si="1"/>
        <v>196200390</v>
      </c>
    </row>
    <row r="72" spans="1:16">
      <c r="A72">
        <v>2022</v>
      </c>
      <c r="B72" t="s">
        <v>38</v>
      </c>
      <c r="C72" s="3" t="str">
        <f>_xlfn.XLOOKUP(B72, 'Revenue Codes'!$A$2:$A$99, 'Revenue Codes'!$B$2:$B$99, "")</f>
        <v>Fine &amp; Forfeits</v>
      </c>
      <c r="D72" s="2">
        <v>73974850</v>
      </c>
      <c r="E72" s="2">
        <v>43847736</v>
      </c>
      <c r="F72" s="2">
        <v>154178061</v>
      </c>
      <c r="G72" s="2">
        <v>283330028</v>
      </c>
      <c r="H72" s="2">
        <v>188966658</v>
      </c>
      <c r="I72" s="2">
        <v>86752317.180000007</v>
      </c>
      <c r="J72" s="2">
        <v>740768454.36000001</v>
      </c>
      <c r="K72" s="2">
        <v>278454898.69999999</v>
      </c>
      <c r="L72" s="2">
        <v>40948141</v>
      </c>
      <c r="M72" s="2">
        <v>2345629012</v>
      </c>
      <c r="N72" s="2">
        <v>174532075</v>
      </c>
      <c r="O72" s="2">
        <v>137759414</v>
      </c>
      <c r="P72" s="6">
        <f t="shared" si="1"/>
        <v>4549141645.2399998</v>
      </c>
    </row>
    <row r="73" spans="1:16">
      <c r="A73">
        <v>2022</v>
      </c>
      <c r="B73" t="s">
        <v>39</v>
      </c>
      <c r="C73" s="3" t="str">
        <f>_xlfn.XLOOKUP(B73, 'Revenue Codes'!$A$2:$A$99, 'Revenue Codes'!$B$2:$B$99, "")</f>
        <v>Sundris &amp; Others</v>
      </c>
      <c r="D73" s="2">
        <v>15186219</v>
      </c>
      <c r="E73" s="2">
        <v>21696871</v>
      </c>
      <c r="F73" s="2">
        <v>34407868</v>
      </c>
      <c r="G73" s="2">
        <v>19655059</v>
      </c>
      <c r="H73" s="2">
        <v>16446169</v>
      </c>
      <c r="I73" s="2">
        <v>20037437</v>
      </c>
      <c r="J73" s="2">
        <v>17279871</v>
      </c>
      <c r="K73" s="2">
        <v>18759531.91</v>
      </c>
      <c r="L73" s="2">
        <v>19945216</v>
      </c>
      <c r="M73" s="2">
        <v>19311521</v>
      </c>
      <c r="N73" s="2">
        <v>20164854</v>
      </c>
      <c r="O73" s="2">
        <v>20192352</v>
      </c>
      <c r="P73" s="6">
        <f t="shared" si="1"/>
        <v>243082968.91</v>
      </c>
    </row>
    <row r="74" spans="1:16">
      <c r="A74">
        <v>2022</v>
      </c>
      <c r="B74" t="s">
        <v>40</v>
      </c>
      <c r="C74" s="3" t="str">
        <f>_xlfn.XLOOKUP(B74, 'Revenue Codes'!$A$2:$A$99, 'Revenue Codes'!$B$2:$B$99, "")</f>
        <v>Other Receipts</v>
      </c>
      <c r="D74" s="2">
        <v>124206857</v>
      </c>
      <c r="E74" s="2">
        <v>1941376</v>
      </c>
      <c r="F74" s="2">
        <v>18376742</v>
      </c>
      <c r="G74" s="2">
        <v>14656435</v>
      </c>
      <c r="H74" s="2">
        <v>10874018</v>
      </c>
      <c r="I74" s="2">
        <v>20919888</v>
      </c>
      <c r="J74" s="2">
        <v>15221210</v>
      </c>
      <c r="K74" s="2">
        <v>20378576.690000001</v>
      </c>
      <c r="L74" s="2">
        <v>20023269</v>
      </c>
      <c r="M74" s="2">
        <v>19629136</v>
      </c>
      <c r="N74" s="2">
        <v>17009805</v>
      </c>
      <c r="O74" s="2">
        <v>24434861</v>
      </c>
      <c r="P74" s="6">
        <f t="shared" si="1"/>
        <v>307672173.69</v>
      </c>
    </row>
    <row r="75" spans="1:16">
      <c r="A75">
        <v>2023</v>
      </c>
      <c r="B75" t="s">
        <v>17</v>
      </c>
      <c r="C75" s="3" t="str">
        <f>_xlfn.XLOOKUP(B75, 'Revenue Codes'!$A$2:$A$99, 'Revenue Codes'!$B$2:$B$99, "")</f>
        <v xml:space="preserve">Import Duty </v>
      </c>
      <c r="D75" s="2">
        <v>5773399296.5</v>
      </c>
      <c r="E75" s="2">
        <v>5288230939.3500004</v>
      </c>
      <c r="F75" s="2">
        <v>4195180462.25</v>
      </c>
      <c r="G75" s="2">
        <v>5007017175.29</v>
      </c>
      <c r="H75" s="2">
        <v>5501630140.8699999</v>
      </c>
      <c r="I75" s="2">
        <v>6095372613.3900003</v>
      </c>
      <c r="J75" s="2">
        <v>7768610714.1700001</v>
      </c>
      <c r="K75" s="2">
        <v>23957856679.139999</v>
      </c>
      <c r="L75" s="2">
        <v>2512205887</v>
      </c>
      <c r="M75" s="2">
        <v>10865869944.02</v>
      </c>
      <c r="N75" s="2">
        <v>18031933338.240002</v>
      </c>
      <c r="O75" s="2">
        <v>10123041446.35</v>
      </c>
      <c r="P75" s="6">
        <f t="shared" si="1"/>
        <v>105120348636.57001</v>
      </c>
    </row>
    <row r="76" spans="1:16">
      <c r="A76">
        <v>2023</v>
      </c>
      <c r="B76" t="s">
        <v>19</v>
      </c>
      <c r="C76" s="3" t="str">
        <f>_xlfn.XLOOKUP(B76, 'Revenue Codes'!$A$2:$A$99, 'Revenue Codes'!$B$2:$B$99, "")</f>
        <v xml:space="preserve">Export Duty </v>
      </c>
      <c r="D76" s="2">
        <v>1294230</v>
      </c>
      <c r="E76" s="2">
        <v>1414201</v>
      </c>
      <c r="F76" s="2">
        <v>2404853.5</v>
      </c>
      <c r="G76" s="2">
        <v>2469854</v>
      </c>
      <c r="H76" s="2">
        <v>2674440</v>
      </c>
      <c r="I76" s="2">
        <v>2511689</v>
      </c>
      <c r="J76" s="2">
        <v>22607799</v>
      </c>
      <c r="K76" s="2">
        <v>2691658</v>
      </c>
      <c r="L76" s="2">
        <v>-17630559</v>
      </c>
      <c r="M76" s="2">
        <v>2725468</v>
      </c>
      <c r="N76" s="2">
        <v>2460323</v>
      </c>
      <c r="O76" s="2">
        <v>1126398</v>
      </c>
      <c r="P76" s="6">
        <f t="shared" si="1"/>
        <v>26750354.5</v>
      </c>
    </row>
    <row r="77" spans="1:16">
      <c r="A77">
        <v>2023</v>
      </c>
      <c r="B77" t="s">
        <v>20</v>
      </c>
      <c r="C77" s="3" t="str">
        <f>_xlfn.XLOOKUP(B77, 'Revenue Codes'!$A$2:$A$99, 'Revenue Codes'!$B$2:$B$99, "")</f>
        <v xml:space="preserve">PAL </v>
      </c>
      <c r="D77" s="2">
        <v>13885271819.52</v>
      </c>
      <c r="E77" s="2">
        <v>20081148098.080002</v>
      </c>
      <c r="F77" s="2">
        <v>12149839718.370001</v>
      </c>
      <c r="G77" s="2">
        <v>10569124762.67</v>
      </c>
      <c r="H77" s="2">
        <v>11860096022.450001</v>
      </c>
      <c r="I77" s="2">
        <v>12066148545.33</v>
      </c>
      <c r="J77" s="2">
        <v>13029408260.26</v>
      </c>
      <c r="K77" s="2">
        <v>16540957394.43</v>
      </c>
      <c r="L77" s="2">
        <v>13442963199.790001</v>
      </c>
      <c r="M77" s="2">
        <v>19303453811.669998</v>
      </c>
      <c r="N77" s="2">
        <v>17501510045.09</v>
      </c>
      <c r="O77" s="2">
        <v>15056415782.57</v>
      </c>
      <c r="P77" s="6">
        <f t="shared" si="1"/>
        <v>175486337460.23001</v>
      </c>
    </row>
    <row r="78" spans="1:16">
      <c r="A78">
        <v>2023</v>
      </c>
      <c r="B78" t="s">
        <v>21</v>
      </c>
      <c r="C78" s="3" t="str">
        <f>_xlfn.XLOOKUP(B78, 'Revenue Codes'!$A$2:$A$99, 'Revenue Codes'!$B$2:$B$99, "")</f>
        <v xml:space="preserve">Cess (Import) </v>
      </c>
      <c r="D78" s="2">
        <v>6762414036.6999998</v>
      </c>
      <c r="E78" s="2">
        <v>4871130463.1800003</v>
      </c>
      <c r="F78" s="2">
        <v>5195637311.8400002</v>
      </c>
      <c r="G78" s="2">
        <v>-869864671.14999998</v>
      </c>
      <c r="H78" s="2">
        <v>3687925653.4000001</v>
      </c>
      <c r="I78" s="2">
        <v>3955335579.02</v>
      </c>
      <c r="J78" s="2">
        <v>4289923226.2600002</v>
      </c>
      <c r="K78" s="2">
        <v>5313974159.8500004</v>
      </c>
      <c r="L78" s="2">
        <v>4580939526</v>
      </c>
      <c r="M78" s="2">
        <v>5501315857</v>
      </c>
      <c r="N78" s="2">
        <v>5960818902</v>
      </c>
      <c r="O78" s="2">
        <v>5706055932.5</v>
      </c>
      <c r="P78" s="6">
        <f t="shared" si="1"/>
        <v>54955605976.599998</v>
      </c>
    </row>
    <row r="79" spans="1:16">
      <c r="A79">
        <v>2023</v>
      </c>
      <c r="B79" t="s">
        <v>22</v>
      </c>
      <c r="C79" s="3" t="str">
        <f>_xlfn.XLOOKUP(B79, 'Revenue Codes'!$A$2:$A$99, 'Revenue Codes'!$B$2:$B$99, "")</f>
        <v>Cess (Export)</v>
      </c>
      <c r="D79" s="2">
        <v>166136346</v>
      </c>
      <c r="E79" s="2">
        <v>244734461</v>
      </c>
      <c r="F79" s="2">
        <v>169592937</v>
      </c>
      <c r="G79" s="2">
        <v>123460993</v>
      </c>
      <c r="H79" s="2">
        <v>176082675</v>
      </c>
      <c r="I79" s="2">
        <v>187604018</v>
      </c>
      <c r="J79" s="2">
        <v>163477130.56999999</v>
      </c>
      <c r="K79" s="2">
        <v>299600141</v>
      </c>
      <c r="L79" s="2">
        <v>202618834</v>
      </c>
      <c r="M79" s="2">
        <v>167738375</v>
      </c>
      <c r="N79" s="2">
        <v>169440048</v>
      </c>
      <c r="O79" s="2">
        <v>158019745</v>
      </c>
      <c r="P79" s="6">
        <f t="shared" si="1"/>
        <v>2228505703.5699997</v>
      </c>
    </row>
    <row r="80" spans="1:16">
      <c r="A80">
        <v>2023</v>
      </c>
      <c r="B80" t="s">
        <v>24</v>
      </c>
      <c r="C80" s="3" t="str">
        <f>_xlfn.XLOOKUP(B80, 'Revenue Codes'!$A$2:$A$99, 'Revenue Codes'!$B$2:$B$99, "")</f>
        <v>SCL</v>
      </c>
      <c r="D80" s="2">
        <v>3188576571</v>
      </c>
      <c r="E80" s="2">
        <v>3164823383</v>
      </c>
      <c r="F80" s="2">
        <v>4944329620.3400002</v>
      </c>
      <c r="G80" s="2">
        <v>3574073462</v>
      </c>
      <c r="H80" s="2">
        <v>6045944417</v>
      </c>
      <c r="I80" s="2">
        <v>4791440344</v>
      </c>
      <c r="J80" s="2">
        <v>5606305796.5200005</v>
      </c>
      <c r="K80" s="2">
        <v>682574668</v>
      </c>
      <c r="L80" s="2">
        <v>4785353391</v>
      </c>
      <c r="M80" s="2">
        <v>6944167067</v>
      </c>
      <c r="N80" s="2">
        <v>455158827</v>
      </c>
      <c r="O80" s="2">
        <v>7144705365</v>
      </c>
      <c r="P80" s="6">
        <f t="shared" si="1"/>
        <v>51327452911.860001</v>
      </c>
    </row>
    <row r="81" spans="1:17">
      <c r="A81">
        <v>2023</v>
      </c>
      <c r="B81" t="s">
        <v>28</v>
      </c>
      <c r="C81" s="3" t="str">
        <f>_xlfn.XLOOKUP(B81, 'Revenue Codes'!$A$2:$A$99, 'Revenue Codes'!$B$2:$B$99, "")</f>
        <v>Cigarette</v>
      </c>
      <c r="D81" s="2">
        <v>8969009838</v>
      </c>
      <c r="E81" s="2">
        <v>10145283482</v>
      </c>
      <c r="F81" s="2">
        <v>13310135906</v>
      </c>
      <c r="G81" s="2">
        <v>10281697694</v>
      </c>
      <c r="H81" s="2">
        <v>10353568120</v>
      </c>
      <c r="I81" s="2">
        <v>9532142125</v>
      </c>
      <c r="J81" s="2">
        <v>11401254253</v>
      </c>
      <c r="K81" s="2">
        <v>2400</v>
      </c>
      <c r="L81" s="2">
        <v>15454875639.43</v>
      </c>
      <c r="M81" s="2">
        <v>8941166775</v>
      </c>
      <c r="N81" s="2">
        <v>9475808140</v>
      </c>
      <c r="O81" s="2">
        <v>9601757181</v>
      </c>
      <c r="P81" s="6">
        <f t="shared" si="1"/>
        <v>117466701553.42999</v>
      </c>
    </row>
    <row r="82" spans="1:17">
      <c r="A82">
        <v>2023</v>
      </c>
      <c r="B82" t="s">
        <v>30</v>
      </c>
      <c r="C82" s="3" t="str">
        <f>_xlfn.XLOOKUP(B82, 'Revenue Codes'!$A$2:$A$99, 'Revenue Codes'!$B$2:$B$99, "")</f>
        <v>Petroleum Products</v>
      </c>
      <c r="D82" s="2">
        <v>10547862416.57</v>
      </c>
      <c r="E82" s="2">
        <v>8660111920.1000004</v>
      </c>
      <c r="F82" s="2">
        <v>5379761700.4899998</v>
      </c>
      <c r="G82" s="2">
        <v>3171449457.2399998</v>
      </c>
      <c r="H82" s="2">
        <v>1782897073.8199999</v>
      </c>
      <c r="I82" s="2">
        <v>2697851902.3099999</v>
      </c>
      <c r="J82" s="2">
        <v>10036307172.65</v>
      </c>
      <c r="K82" s="2">
        <v>16399968064.57</v>
      </c>
      <c r="L82" s="2">
        <v>13577742203.290001</v>
      </c>
      <c r="M82" s="2">
        <v>34083612987.73</v>
      </c>
      <c r="N82" s="2">
        <v>17234632879.240002</v>
      </c>
      <c r="O82" s="2">
        <v>20070241522.939999</v>
      </c>
      <c r="P82" s="6">
        <f t="shared" si="1"/>
        <v>143642439300.94998</v>
      </c>
    </row>
    <row r="83" spans="1:17">
      <c r="A83">
        <v>2023</v>
      </c>
      <c r="B83" t="s">
        <v>31</v>
      </c>
      <c r="C83" s="3" t="str">
        <f>_xlfn.XLOOKUP(B83, 'Revenue Codes'!$A$2:$A$99, 'Revenue Codes'!$B$2:$B$99, "")</f>
        <v>Motor Vehicles</v>
      </c>
      <c r="D83" s="2">
        <v>160957028</v>
      </c>
      <c r="E83" s="2">
        <v>1446917428</v>
      </c>
      <c r="F83" s="2">
        <v>337037750</v>
      </c>
      <c r="G83" s="2">
        <v>4613526505</v>
      </c>
      <c r="H83" s="2">
        <v>4424936467.5</v>
      </c>
      <c r="I83" s="2">
        <v>9113454302</v>
      </c>
      <c r="J83" s="2">
        <v>372375030.24000001</v>
      </c>
      <c r="K83" s="2">
        <v>489545529</v>
      </c>
      <c r="L83" s="2">
        <v>524659879</v>
      </c>
      <c r="M83" s="2">
        <v>6293277878</v>
      </c>
      <c r="N83" s="2">
        <v>684747239</v>
      </c>
      <c r="O83" s="2">
        <v>4064332504</v>
      </c>
      <c r="P83" s="6">
        <f t="shared" si="1"/>
        <v>32525767539.740002</v>
      </c>
    </row>
    <row r="84" spans="1:17">
      <c r="A84">
        <v>2023</v>
      </c>
      <c r="B84" t="s">
        <v>32</v>
      </c>
      <c r="C84" s="3" t="str">
        <f>_xlfn.XLOOKUP(B84, 'Revenue Codes'!$A$2:$A$99, 'Revenue Codes'!$B$2:$B$99, "")</f>
        <v>Excise (Other)</v>
      </c>
      <c r="D84" s="2">
        <v>590826237.26999998</v>
      </c>
      <c r="E84" s="2">
        <v>313149381.83999997</v>
      </c>
      <c r="F84" s="2">
        <v>163695510</v>
      </c>
      <c r="G84" s="2">
        <v>313944305.13999999</v>
      </c>
      <c r="H84" s="2">
        <v>392363533.92000002</v>
      </c>
      <c r="I84" s="2">
        <v>102371330</v>
      </c>
      <c r="J84" s="2">
        <v>717572467.28999996</v>
      </c>
      <c r="K84" s="2">
        <v>353070273.20999998</v>
      </c>
      <c r="L84" s="2">
        <v>120459745</v>
      </c>
      <c r="M84" s="2">
        <v>678727436.00999999</v>
      </c>
      <c r="N84" s="2">
        <v>609172402.17999995</v>
      </c>
      <c r="O84" s="2">
        <v>357744876</v>
      </c>
      <c r="P84" s="6">
        <f t="shared" si="1"/>
        <v>4713097497.8600006</v>
      </c>
    </row>
    <row r="85" spans="1:17">
      <c r="A85">
        <v>2023</v>
      </c>
      <c r="B85" t="s">
        <v>35</v>
      </c>
      <c r="C85" s="3" t="str">
        <f>_xlfn.XLOOKUP(B85, 'Revenue Codes'!$A$2:$A$99, 'Revenue Codes'!$B$2:$B$99, "")</f>
        <v>VEL</v>
      </c>
      <c r="D85" s="2">
        <v>3416654</v>
      </c>
      <c r="E85" s="2">
        <v>8077450</v>
      </c>
      <c r="F85" s="2">
        <v>8446020</v>
      </c>
      <c r="G85" s="2">
        <v>4148690</v>
      </c>
      <c r="H85" s="2">
        <v>6165931</v>
      </c>
      <c r="I85" s="2">
        <v>3589846</v>
      </c>
      <c r="J85" s="2">
        <v>4912993</v>
      </c>
      <c r="K85" s="2">
        <v>877198246</v>
      </c>
      <c r="L85" s="2">
        <v>30078214</v>
      </c>
      <c r="M85" s="2">
        <v>6489715</v>
      </c>
      <c r="N85" s="2">
        <v>12141142</v>
      </c>
      <c r="O85" s="2">
        <v>14100101</v>
      </c>
      <c r="P85" s="6">
        <f t="shared" si="1"/>
        <v>978765002</v>
      </c>
    </row>
    <row r="86" spans="1:17">
      <c r="A86">
        <v>2023</v>
      </c>
      <c r="B86" t="s">
        <v>37</v>
      </c>
      <c r="C86" s="3" t="str">
        <f>_xlfn.XLOOKUP(B86, 'Revenue Codes'!$A$2:$A$99, 'Revenue Codes'!$B$2:$B$99, "")</f>
        <v>Sales of Garment</v>
      </c>
      <c r="D86" s="2">
        <v>10123150</v>
      </c>
      <c r="E86" s="2">
        <v>11274225</v>
      </c>
      <c r="F86" s="2">
        <v>31425334</v>
      </c>
      <c r="G86" s="2">
        <v>8575625</v>
      </c>
      <c r="H86" s="2">
        <v>19088840</v>
      </c>
      <c r="I86" s="2">
        <v>15580100</v>
      </c>
      <c r="J86" s="2">
        <v>749852</v>
      </c>
      <c r="K86" s="2">
        <v>11846825</v>
      </c>
      <c r="L86" s="2">
        <v>15759650</v>
      </c>
      <c r="M86" s="2">
        <v>9123350</v>
      </c>
      <c r="N86" s="2">
        <v>17456340</v>
      </c>
      <c r="O86" s="2">
        <v>20679241</v>
      </c>
      <c r="P86" s="6">
        <f t="shared" si="1"/>
        <v>171682532</v>
      </c>
    </row>
    <row r="87" spans="1:17">
      <c r="A87">
        <v>2023</v>
      </c>
      <c r="B87" t="s">
        <v>38</v>
      </c>
      <c r="C87" s="3" t="str">
        <f>_xlfn.XLOOKUP(B87, 'Revenue Codes'!$A$2:$A$99, 'Revenue Codes'!$B$2:$B$99, "")</f>
        <v>Fine &amp; Forfeits</v>
      </c>
      <c r="D87" s="2">
        <v>34722254.229999997</v>
      </c>
      <c r="E87" s="2">
        <v>222045253.97999999</v>
      </c>
      <c r="F87" s="2">
        <v>425264478.50999999</v>
      </c>
      <c r="G87" s="2">
        <v>271858712.54000002</v>
      </c>
      <c r="H87" s="2">
        <v>174333936.69999999</v>
      </c>
      <c r="I87" s="2">
        <v>214895024.59</v>
      </c>
      <c r="J87" s="2">
        <v>246798878.16</v>
      </c>
      <c r="K87" s="2">
        <v>506348632.75999999</v>
      </c>
      <c r="L87" s="2">
        <v>275964943.69999999</v>
      </c>
      <c r="M87" s="2">
        <v>478550317.25</v>
      </c>
      <c r="N87" s="2">
        <v>421256593.19</v>
      </c>
      <c r="O87" s="2">
        <v>2166067393.0900002</v>
      </c>
      <c r="P87" s="6">
        <f t="shared" si="1"/>
        <v>5438106418.7000008</v>
      </c>
    </row>
    <row r="88" spans="1:17">
      <c r="A88">
        <v>2023</v>
      </c>
      <c r="B88" t="s">
        <v>25</v>
      </c>
      <c r="C88" s="3" t="str">
        <f>_xlfn.XLOOKUP(B88, 'Revenue Codes'!$A$2:$A$99, 'Revenue Codes'!$B$2:$B$99, "")</f>
        <v>LXT</v>
      </c>
      <c r="D88" s="2">
        <v>25200398</v>
      </c>
      <c r="E88" s="2">
        <v>407942037</v>
      </c>
      <c r="F88" s="2">
        <v>755800722</v>
      </c>
      <c r="G88" s="2">
        <v>12690144</v>
      </c>
      <c r="H88" s="2">
        <v>11339218</v>
      </c>
      <c r="I88" s="2">
        <v>17520113</v>
      </c>
      <c r="J88" s="2">
        <v>109418407</v>
      </c>
      <c r="K88" s="2">
        <v>70916029</v>
      </c>
      <c r="L88" s="2">
        <v>298907705</v>
      </c>
      <c r="M88" s="2">
        <v>321223073</v>
      </c>
      <c r="N88" s="2">
        <v>152348622</v>
      </c>
      <c r="O88" s="2">
        <v>509811585</v>
      </c>
      <c r="P88" s="6">
        <f t="shared" si="1"/>
        <v>2693118053</v>
      </c>
    </row>
    <row r="89" spans="1:17">
      <c r="A89">
        <v>2023</v>
      </c>
      <c r="B89" t="s">
        <v>26</v>
      </c>
      <c r="C89" s="3" t="str">
        <f>_xlfn.XLOOKUP(B89, 'Revenue Codes'!$A$2:$A$99, 'Revenue Codes'!$B$2:$B$99, "")</f>
        <v>VAT</v>
      </c>
      <c r="D89" s="2">
        <v>18319725843.02</v>
      </c>
      <c r="E89" s="2">
        <v>15420474884.73</v>
      </c>
      <c r="F89" s="2">
        <v>16493297866.32</v>
      </c>
      <c r="G89" s="2">
        <v>14864862969.67</v>
      </c>
      <c r="H89" s="2">
        <v>16423043170.66</v>
      </c>
      <c r="I89" s="2">
        <v>15399908986.620001</v>
      </c>
      <c r="J89" s="2">
        <v>20556529530.200001</v>
      </c>
      <c r="K89" s="2">
        <v>19710546493.84</v>
      </c>
      <c r="L89" s="2">
        <v>16411349457</v>
      </c>
      <c r="M89" s="2">
        <v>23426502500.830002</v>
      </c>
      <c r="N89" s="2">
        <v>24718491618</v>
      </c>
      <c r="O89" s="2">
        <v>23491551556</v>
      </c>
      <c r="P89" s="6">
        <f t="shared" si="1"/>
        <v>225236284876.89001</v>
      </c>
    </row>
    <row r="90" spans="1:17">
      <c r="A90">
        <v>2023</v>
      </c>
      <c r="B90" t="s">
        <v>33</v>
      </c>
      <c r="C90" s="3" t="str">
        <f>_xlfn.XLOOKUP(B90, 'Revenue Codes'!$A$2:$A$99, 'Revenue Codes'!$B$2:$B$99, "")</f>
        <v>NBT</v>
      </c>
      <c r="D90" s="2">
        <v>7519052</v>
      </c>
      <c r="E90" s="2">
        <v>210364694</v>
      </c>
      <c r="F90" s="2">
        <v>1458791</v>
      </c>
      <c r="G90" s="2">
        <v>1812242</v>
      </c>
      <c r="H90" s="2">
        <v>697622</v>
      </c>
      <c r="I90" s="2">
        <v>8831341</v>
      </c>
      <c r="J90" s="2">
        <v>24782202.550000001</v>
      </c>
      <c r="K90" s="2">
        <v>39776</v>
      </c>
      <c r="L90" s="2">
        <v>20341</v>
      </c>
      <c r="M90" s="2">
        <v>1181068</v>
      </c>
      <c r="N90" s="2">
        <v>2515074</v>
      </c>
      <c r="O90" s="2">
        <v>783478</v>
      </c>
      <c r="P90" s="6">
        <f t="shared" si="1"/>
        <v>260005681.55000001</v>
      </c>
    </row>
    <row r="91" spans="1:17">
      <c r="A91">
        <v>2023</v>
      </c>
      <c r="B91" t="s">
        <v>45</v>
      </c>
      <c r="C91" s="3" t="str">
        <f>_xlfn.XLOOKUP(B91, 'Revenue Codes'!$A$2:$A$99, 'Revenue Codes'!$B$2:$B$99, "")</f>
        <v>SSL</v>
      </c>
      <c r="D91" s="2">
        <v>4237475730.98</v>
      </c>
      <c r="E91" s="2">
        <v>3536355786.7199998</v>
      </c>
      <c r="F91" s="2">
        <v>4239186367.1599998</v>
      </c>
      <c r="G91" s="2">
        <v>3446405403.6700001</v>
      </c>
      <c r="H91" s="2">
        <v>4079660301.2399998</v>
      </c>
      <c r="I91" s="2">
        <v>3909270167.0300002</v>
      </c>
      <c r="J91" s="2">
        <v>4177849416.0599999</v>
      </c>
      <c r="K91" s="2">
        <v>4879026861.8999996</v>
      </c>
      <c r="L91" s="2">
        <v>3905327404</v>
      </c>
      <c r="M91" s="2">
        <v>5364808805.5200005</v>
      </c>
      <c r="N91" s="2">
        <v>5105986061</v>
      </c>
      <c r="O91" s="2">
        <v>4392610729</v>
      </c>
      <c r="P91" s="6">
        <f t="shared" si="1"/>
        <v>51273963034.279999</v>
      </c>
    </row>
    <row r="92" spans="1:17">
      <c r="A92">
        <v>2023</v>
      </c>
      <c r="B92" t="s">
        <v>36</v>
      </c>
      <c r="C92" s="3" t="str">
        <f>_xlfn.XLOOKUP(B92, 'Revenue Codes'!$A$2:$A$99, 'Revenue Codes'!$B$2:$B$99, "")</f>
        <v>ESC</v>
      </c>
      <c r="D92" s="2">
        <v>26879</v>
      </c>
      <c r="E92" s="2">
        <v>71337</v>
      </c>
      <c r="F92" s="2">
        <v>69776</v>
      </c>
      <c r="G92" s="2">
        <v>33499</v>
      </c>
      <c r="H92" s="2">
        <v>59157</v>
      </c>
      <c r="I92" s="2">
        <v>611332</v>
      </c>
      <c r="J92" s="2">
        <v>10866517</v>
      </c>
      <c r="K92" s="2">
        <v>21239</v>
      </c>
      <c r="L92" s="2">
        <v>15412</v>
      </c>
      <c r="M92" s="2">
        <v>58292</v>
      </c>
      <c r="N92" s="2">
        <v>224116</v>
      </c>
      <c r="O92" s="2">
        <v>94540</v>
      </c>
      <c r="P92" s="6">
        <f t="shared" si="1"/>
        <v>12152096</v>
      </c>
    </row>
    <row r="93" spans="1:17">
      <c r="A93">
        <v>2023</v>
      </c>
      <c r="B93" t="s">
        <v>39</v>
      </c>
      <c r="C93" s="3" t="str">
        <f>_xlfn.XLOOKUP(B93, 'Revenue Codes'!$A$2:$A$99, 'Revenue Codes'!$B$2:$B$99, "")</f>
        <v>Sundris &amp; Others</v>
      </c>
      <c r="D93" s="2">
        <v>13253839.220000001</v>
      </c>
      <c r="E93" s="2">
        <v>25983100.579999998</v>
      </c>
      <c r="F93" s="2">
        <v>22292239.539999999</v>
      </c>
      <c r="G93" s="2">
        <v>17252889.98</v>
      </c>
      <c r="H93" s="2">
        <v>20519892.5</v>
      </c>
      <c r="I93" s="2">
        <v>24869805.449999999</v>
      </c>
      <c r="J93" s="2">
        <v>310452691.45999998</v>
      </c>
      <c r="K93" s="2">
        <v>24203061.850000001</v>
      </c>
      <c r="L93" s="2">
        <v>21549963.109999999</v>
      </c>
      <c r="M93" s="2">
        <v>22345777.469999999</v>
      </c>
      <c r="N93" s="2">
        <v>22445476.91</v>
      </c>
      <c r="O93" s="2">
        <v>21135639.710000001</v>
      </c>
      <c r="P93" s="6">
        <f t="shared" si="1"/>
        <v>546304377.77999997</v>
      </c>
    </row>
    <row r="94" spans="1:17">
      <c r="A94">
        <v>2023</v>
      </c>
      <c r="B94" t="s">
        <v>40</v>
      </c>
      <c r="C94" s="3" t="str">
        <f>_xlfn.XLOOKUP(B94, 'Revenue Codes'!$A$2:$A$99, 'Revenue Codes'!$B$2:$B$99, "")</f>
        <v>Other Receipts</v>
      </c>
      <c r="D94" s="2">
        <v>16260497.220000001</v>
      </c>
      <c r="E94" s="2">
        <v>3694397</v>
      </c>
      <c r="F94" s="2">
        <v>22017616.039999999</v>
      </c>
      <c r="G94" s="2">
        <v>12172172.77</v>
      </c>
      <c r="H94" s="2">
        <v>12424323.960000001</v>
      </c>
      <c r="I94" s="2">
        <v>26022995.300000001</v>
      </c>
      <c r="J94" s="2">
        <v>17525022.370000001</v>
      </c>
      <c r="K94" s="2">
        <v>14837612.359999999</v>
      </c>
      <c r="L94" s="2">
        <v>10252032.5</v>
      </c>
      <c r="M94" s="2">
        <v>193982149.97</v>
      </c>
      <c r="N94" s="2">
        <v>16041135.25</v>
      </c>
      <c r="O94" s="2">
        <v>16818930.800000001</v>
      </c>
      <c r="P94" s="6">
        <f t="shared" si="1"/>
        <v>362048885.54000002</v>
      </c>
    </row>
    <row r="95" spans="1:17">
      <c r="A95">
        <v>2024</v>
      </c>
      <c r="B95" t="s">
        <v>17</v>
      </c>
      <c r="C95" s="3" t="str">
        <f>_xlfn.XLOOKUP(B95, 'Revenue Codes'!$A$2:$A$99, 'Revenue Codes'!$B$2:$B$99, "")</f>
        <v xml:space="preserve">Import Duty </v>
      </c>
      <c r="D95" s="2">
        <v>9719000000</v>
      </c>
      <c r="E95" s="2">
        <v>8941450000</v>
      </c>
      <c r="F95" s="2">
        <v>7963000000</v>
      </c>
      <c r="G95" s="2">
        <v>7514000000</v>
      </c>
      <c r="H95" s="2">
        <v>7787450000</v>
      </c>
      <c r="I95" s="2">
        <v>5077000000</v>
      </c>
      <c r="J95" s="2">
        <v>12587000000</v>
      </c>
      <c r="K95" s="2">
        <v>9831000000</v>
      </c>
      <c r="L95" s="2">
        <v>10067000000</v>
      </c>
      <c r="M95" s="2">
        <v>10327000000</v>
      </c>
      <c r="N95" s="2">
        <v>10761000000</v>
      </c>
      <c r="O95" s="2">
        <v>10573000000</v>
      </c>
      <c r="P95" s="6">
        <f t="shared" si="1"/>
        <v>111147900000</v>
      </c>
      <c r="Q95" s="2"/>
    </row>
    <row r="96" spans="1:17">
      <c r="A96">
        <v>2024</v>
      </c>
      <c r="B96" t="s">
        <v>19</v>
      </c>
      <c r="C96" s="3" t="str">
        <f>_xlfn.XLOOKUP(B96, 'Revenue Codes'!$A$2:$A$99, 'Revenue Codes'!$B$2:$B$99, "")</f>
        <v xml:space="preserve">Export Duty </v>
      </c>
      <c r="D96" s="2">
        <v>2000000</v>
      </c>
      <c r="E96" s="2">
        <v>690000</v>
      </c>
      <c r="F96" s="2">
        <v>3000000</v>
      </c>
      <c r="G96" s="2">
        <v>4000000</v>
      </c>
      <c r="H96" s="2">
        <v>3000000</v>
      </c>
      <c r="I96" s="2">
        <v>1000000</v>
      </c>
      <c r="J96" s="2">
        <v>4000000</v>
      </c>
      <c r="K96" s="2">
        <v>1000000</v>
      </c>
      <c r="L96" s="2">
        <v>2000000</v>
      </c>
      <c r="M96" s="2">
        <v>3000000</v>
      </c>
      <c r="N96" s="2">
        <v>2000000</v>
      </c>
      <c r="O96" s="2">
        <v>753000</v>
      </c>
      <c r="P96" s="6">
        <f t="shared" si="1"/>
        <v>26443000</v>
      </c>
    </row>
    <row r="97" spans="1:16">
      <c r="A97">
        <v>2024</v>
      </c>
      <c r="B97" t="s">
        <v>20</v>
      </c>
      <c r="C97" s="3" t="str">
        <f>_xlfn.XLOOKUP(B97, 'Revenue Codes'!$A$2:$A$99, 'Revenue Codes'!$B$2:$B$99, "")</f>
        <v xml:space="preserve">PAL </v>
      </c>
      <c r="D97" s="2">
        <v>13006550000</v>
      </c>
      <c r="E97" s="2">
        <v>14085450000</v>
      </c>
      <c r="F97" s="2">
        <v>14056000000</v>
      </c>
      <c r="G97" s="2">
        <v>15744000000</v>
      </c>
      <c r="H97" s="2">
        <v>15836450000</v>
      </c>
      <c r="I97" s="2">
        <v>10789000000</v>
      </c>
      <c r="J97" s="2">
        <v>16718000000</v>
      </c>
      <c r="K97" s="2">
        <v>13690000000</v>
      </c>
      <c r="L97" s="2">
        <v>16319000000</v>
      </c>
      <c r="M97" s="2">
        <v>13520000000</v>
      </c>
      <c r="N97" s="2">
        <v>12728000000</v>
      </c>
      <c r="O97" s="2">
        <v>13521000000</v>
      </c>
      <c r="P97" s="6">
        <f t="shared" si="1"/>
        <v>170013450000</v>
      </c>
    </row>
    <row r="98" spans="1:16">
      <c r="A98">
        <v>2024</v>
      </c>
      <c r="B98" t="s">
        <v>21</v>
      </c>
      <c r="C98" s="3" t="str">
        <f>_xlfn.XLOOKUP(B98, 'Revenue Codes'!$A$2:$A$99, 'Revenue Codes'!$B$2:$B$99, "")</f>
        <v xml:space="preserve">Cess (Import) </v>
      </c>
      <c r="D98" s="2">
        <v>8007000000</v>
      </c>
      <c r="E98" s="2">
        <v>7410000000</v>
      </c>
      <c r="F98" s="2">
        <v>5948000000</v>
      </c>
      <c r="G98" s="2">
        <v>5318000000</v>
      </c>
      <c r="H98" s="2">
        <v>5448000000</v>
      </c>
      <c r="I98" s="2">
        <v>3376000000</v>
      </c>
      <c r="J98" s="2">
        <v>1353000000</v>
      </c>
      <c r="K98" s="2">
        <v>13675000000</v>
      </c>
      <c r="L98" s="2">
        <v>6870000000</v>
      </c>
      <c r="M98" s="2">
        <v>7773000000</v>
      </c>
      <c r="N98" s="2">
        <v>6718000000</v>
      </c>
      <c r="O98" s="2">
        <v>7237000000</v>
      </c>
      <c r="P98" s="6">
        <f t="shared" si="1"/>
        <v>79133000000</v>
      </c>
    </row>
    <row r="99" spans="1:16">
      <c r="A99">
        <v>2024</v>
      </c>
      <c r="B99" t="s">
        <v>22</v>
      </c>
      <c r="C99" s="3" t="str">
        <f>_xlfn.XLOOKUP(B99, 'Revenue Codes'!$A$2:$A$99, 'Revenue Codes'!$B$2:$B$99, "")</f>
        <v>Cess (Export)</v>
      </c>
      <c r="D99" s="2">
        <v>172000000</v>
      </c>
      <c r="E99" s="2">
        <v>188000000</v>
      </c>
      <c r="F99" s="2">
        <v>179000000</v>
      </c>
      <c r="G99" s="2">
        <v>154000000</v>
      </c>
      <c r="H99" s="2">
        <v>180000000</v>
      </c>
      <c r="I99" s="2">
        <v>172000000</v>
      </c>
      <c r="J99" s="2">
        <v>189000000</v>
      </c>
      <c r="K99" s="2">
        <v>182000000</v>
      </c>
      <c r="L99" s="2">
        <v>70000000</v>
      </c>
      <c r="M99" s="2">
        <v>180000000</v>
      </c>
      <c r="N99" s="2">
        <v>160000000</v>
      </c>
      <c r="O99" s="2">
        <v>168000000</v>
      </c>
      <c r="P99" s="6">
        <f t="shared" si="1"/>
        <v>1994000000</v>
      </c>
    </row>
    <row r="100" spans="1:16">
      <c r="A100">
        <v>2024</v>
      </c>
      <c r="B100" t="s">
        <v>24</v>
      </c>
      <c r="C100" s="3" t="str">
        <f>_xlfn.XLOOKUP(B100, 'Revenue Codes'!$A$2:$A$99, 'Revenue Codes'!$B$2:$B$99, "")</f>
        <v>SCL</v>
      </c>
      <c r="D100" s="2">
        <v>8126000000</v>
      </c>
      <c r="E100" s="2">
        <v>7253000000</v>
      </c>
      <c r="F100" s="2">
        <v>8582000000</v>
      </c>
      <c r="G100" s="2">
        <v>6885000000</v>
      </c>
      <c r="H100" s="2">
        <v>6610000000</v>
      </c>
      <c r="I100" s="2">
        <v>5630000000</v>
      </c>
      <c r="J100" s="2">
        <v>12129000000</v>
      </c>
      <c r="K100" s="2">
        <v>12006000000</v>
      </c>
      <c r="L100" s="2">
        <v>8440000000</v>
      </c>
      <c r="M100" s="2">
        <v>10776000000</v>
      </c>
      <c r="N100" s="2">
        <v>9499000000</v>
      </c>
      <c r="O100" s="2">
        <v>19262000000</v>
      </c>
      <c r="P100" s="6">
        <f t="shared" si="1"/>
        <v>115198000000</v>
      </c>
    </row>
    <row r="101" spans="1:16">
      <c r="A101">
        <v>2024</v>
      </c>
      <c r="B101" t="s">
        <v>28</v>
      </c>
      <c r="C101" s="3" t="str">
        <f>_xlfn.XLOOKUP(B101, 'Revenue Codes'!$A$2:$A$99, 'Revenue Codes'!$B$2:$B$99, "")</f>
        <v>Cigarette</v>
      </c>
      <c r="D101" s="2">
        <v>10820000000</v>
      </c>
      <c r="E101" s="2">
        <v>5861000000</v>
      </c>
      <c r="F101" s="2">
        <v>8362000000</v>
      </c>
      <c r="G101" s="2">
        <v>9556000000</v>
      </c>
      <c r="H101" s="2">
        <v>10105000000</v>
      </c>
      <c r="I101" s="2">
        <v>8378000000</v>
      </c>
      <c r="J101" s="2">
        <v>14743000000</v>
      </c>
      <c r="K101" s="2">
        <v>3062000000</v>
      </c>
      <c r="L101" s="2">
        <v>7974000000</v>
      </c>
      <c r="M101" s="2">
        <v>9261000000</v>
      </c>
      <c r="N101" s="2">
        <v>9126000000</v>
      </c>
      <c r="O101" s="2">
        <v>19896000000</v>
      </c>
      <c r="P101" s="6">
        <f t="shared" si="1"/>
        <v>117144000000</v>
      </c>
    </row>
    <row r="102" spans="1:16">
      <c r="A102">
        <v>2024</v>
      </c>
      <c r="B102" t="s">
        <v>29</v>
      </c>
      <c r="C102" s="3" t="str">
        <f>_xlfn.XLOOKUP(B102, 'Revenue Codes'!$A$2:$A$99, 'Revenue Codes'!$B$2:$B$99, "")</f>
        <v>Liquor</v>
      </c>
      <c r="D102" s="2" t="s">
        <v>46</v>
      </c>
      <c r="E102" s="2" t="s">
        <v>46</v>
      </c>
      <c r="F102" s="2" t="s">
        <v>46</v>
      </c>
      <c r="G102" s="2" t="s">
        <v>46</v>
      </c>
      <c r="H102" s="2" t="s">
        <v>46</v>
      </c>
      <c r="I102" s="2" t="s">
        <v>46</v>
      </c>
      <c r="J102" s="2" t="s">
        <v>47</v>
      </c>
      <c r="K102" s="2" t="s">
        <v>46</v>
      </c>
      <c r="L102" s="2" t="s">
        <v>47</v>
      </c>
      <c r="M102" s="2" t="s">
        <v>47</v>
      </c>
      <c r="N102" s="2" t="s">
        <v>47</v>
      </c>
      <c r="O102" s="2" t="s">
        <v>47</v>
      </c>
      <c r="P102" s="6">
        <f t="shared" si="1"/>
        <v>0</v>
      </c>
    </row>
    <row r="103" spans="1:16">
      <c r="A103">
        <v>2024</v>
      </c>
      <c r="B103" t="s">
        <v>30</v>
      </c>
      <c r="C103" s="3" t="str">
        <f>_xlfn.XLOOKUP(B103, 'Revenue Codes'!$A$2:$A$99, 'Revenue Codes'!$B$2:$B$99, "")</f>
        <v>Petroleum Products</v>
      </c>
      <c r="D103" s="2">
        <v>26335550000</v>
      </c>
      <c r="E103" s="2">
        <v>13398000000</v>
      </c>
      <c r="F103" s="2">
        <v>16541000000</v>
      </c>
      <c r="G103" s="2">
        <v>17485000000</v>
      </c>
      <c r="H103" s="2">
        <v>12336000000</v>
      </c>
      <c r="I103" s="2">
        <v>7743000000</v>
      </c>
      <c r="J103" s="2">
        <v>23337000000</v>
      </c>
      <c r="K103" s="2">
        <v>22123000000</v>
      </c>
      <c r="L103" s="2">
        <v>21291000000</v>
      </c>
      <c r="M103" s="2">
        <v>15550000000</v>
      </c>
      <c r="N103" s="2">
        <v>9478000000</v>
      </c>
      <c r="O103" s="2">
        <v>14583000000</v>
      </c>
      <c r="P103" s="6">
        <f t="shared" si="1"/>
        <v>200200550000</v>
      </c>
    </row>
    <row r="104" spans="1:16">
      <c r="A104">
        <v>2024</v>
      </c>
      <c r="B104" t="s">
        <v>31</v>
      </c>
      <c r="C104" s="3" t="str">
        <f>_xlfn.XLOOKUP(B104, 'Revenue Codes'!$A$2:$A$99, 'Revenue Codes'!$B$2:$B$99, "")</f>
        <v>Motor Vehicles</v>
      </c>
      <c r="D104" s="2">
        <v>672000000</v>
      </c>
      <c r="E104" s="2">
        <v>2916000000</v>
      </c>
      <c r="F104" s="2">
        <v>4259000000</v>
      </c>
      <c r="G104" s="2">
        <v>9316000000</v>
      </c>
      <c r="H104" s="2">
        <v>11021000000</v>
      </c>
      <c r="I104" s="2">
        <v>1315000000</v>
      </c>
      <c r="J104" s="2">
        <v>1198000000</v>
      </c>
      <c r="K104" s="2">
        <v>5836000000</v>
      </c>
      <c r="L104" s="2">
        <v>5009000000</v>
      </c>
      <c r="M104" s="2">
        <v>6001000000</v>
      </c>
      <c r="N104" s="2">
        <v>7063000000</v>
      </c>
      <c r="O104" s="2">
        <v>3957000000</v>
      </c>
      <c r="P104" s="6">
        <f t="shared" si="1"/>
        <v>58563000000</v>
      </c>
    </row>
    <row r="105" spans="1:16">
      <c r="A105">
        <v>2024</v>
      </c>
      <c r="B105" t="s">
        <v>32</v>
      </c>
      <c r="C105" s="3" t="str">
        <f>_xlfn.XLOOKUP(B105, 'Revenue Codes'!$A$2:$A$99, 'Revenue Codes'!$B$2:$B$99, "")</f>
        <v>Excise (Other)</v>
      </c>
      <c r="D105" s="2">
        <v>592000000</v>
      </c>
      <c r="E105" s="2">
        <v>406000000</v>
      </c>
      <c r="F105" s="2">
        <v>281000000</v>
      </c>
      <c r="G105" s="2">
        <v>948000000</v>
      </c>
      <c r="H105" s="2">
        <v>342000000</v>
      </c>
      <c r="I105" s="2">
        <v>388000000</v>
      </c>
      <c r="J105" s="2">
        <v>1034000000</v>
      </c>
      <c r="K105" s="2">
        <v>698000000</v>
      </c>
      <c r="L105" s="2">
        <v>466000000</v>
      </c>
      <c r="M105" s="2">
        <v>1259000000</v>
      </c>
      <c r="N105" s="2">
        <v>990000000</v>
      </c>
      <c r="O105" s="2">
        <v>636000000</v>
      </c>
      <c r="P105" s="6">
        <f t="shared" si="1"/>
        <v>8040000000</v>
      </c>
    </row>
    <row r="106" spans="1:16">
      <c r="A106">
        <v>2024</v>
      </c>
      <c r="B106" t="s">
        <v>35</v>
      </c>
      <c r="C106" s="3" t="str">
        <f>_xlfn.XLOOKUP(B106, 'Revenue Codes'!$A$2:$A$99, 'Revenue Codes'!$B$2:$B$99, "")</f>
        <v>VEL</v>
      </c>
      <c r="D106" s="2">
        <v>6000000</v>
      </c>
      <c r="E106" s="2">
        <v>11000000</v>
      </c>
      <c r="F106" s="2">
        <v>12000000</v>
      </c>
      <c r="G106" s="2">
        <v>8000000</v>
      </c>
      <c r="H106" s="2">
        <v>12000000</v>
      </c>
      <c r="I106" s="2">
        <v>13000000</v>
      </c>
      <c r="J106" s="2">
        <v>69000000</v>
      </c>
      <c r="K106" s="2">
        <v>19000000</v>
      </c>
      <c r="L106" s="2">
        <v>23000000</v>
      </c>
      <c r="M106" s="2">
        <v>22000000</v>
      </c>
      <c r="N106" s="2">
        <v>24000000</v>
      </c>
      <c r="O106" s="2">
        <v>23000000</v>
      </c>
      <c r="P106" s="6">
        <f t="shared" si="1"/>
        <v>242000000</v>
      </c>
    </row>
    <row r="107" spans="1:16">
      <c r="A107">
        <v>2024</v>
      </c>
      <c r="B107" t="s">
        <v>37</v>
      </c>
      <c r="C107" s="3" t="str">
        <f>_xlfn.XLOOKUP(B107, 'Revenue Codes'!$A$2:$A$99, 'Revenue Codes'!$B$2:$B$99, "")</f>
        <v>Sales of Garment</v>
      </c>
      <c r="D107" s="2">
        <v>26000000</v>
      </c>
      <c r="E107" s="2">
        <v>7000000</v>
      </c>
      <c r="F107" s="2">
        <v>9000000</v>
      </c>
      <c r="G107" s="2">
        <v>8000000</v>
      </c>
      <c r="H107" s="2">
        <v>7000000</v>
      </c>
      <c r="I107" s="2">
        <v>10000000</v>
      </c>
      <c r="J107" s="2">
        <v>7000000</v>
      </c>
      <c r="K107" s="2">
        <v>7000000</v>
      </c>
      <c r="L107" s="2">
        <v>7000000</v>
      </c>
      <c r="M107" s="2">
        <v>8000000</v>
      </c>
      <c r="N107" s="2">
        <v>15000000</v>
      </c>
      <c r="O107" s="2">
        <v>12000000</v>
      </c>
      <c r="P107" s="6">
        <f t="shared" si="1"/>
        <v>123000000</v>
      </c>
    </row>
    <row r="108" spans="1:16">
      <c r="A108">
        <v>2024</v>
      </c>
      <c r="B108" t="s">
        <v>38</v>
      </c>
      <c r="C108" s="3" t="str">
        <f>_xlfn.XLOOKUP(B108, 'Revenue Codes'!$A$2:$A$99, 'Revenue Codes'!$B$2:$B$99, "")</f>
        <v>Fine &amp; Forfeits</v>
      </c>
      <c r="D108" s="2">
        <v>271000000</v>
      </c>
      <c r="E108" s="2">
        <v>402000000</v>
      </c>
      <c r="F108" s="2">
        <v>227000000</v>
      </c>
      <c r="G108" s="2">
        <v>278000000</v>
      </c>
      <c r="H108" s="2">
        <v>810000000</v>
      </c>
      <c r="I108" s="2">
        <v>828000000</v>
      </c>
      <c r="J108" s="2">
        <v>552000000</v>
      </c>
      <c r="K108" s="2">
        <v>277000000</v>
      </c>
      <c r="L108" s="2">
        <v>396000000</v>
      </c>
      <c r="M108" s="2">
        <v>216000000</v>
      </c>
      <c r="N108" s="2">
        <v>673000000</v>
      </c>
      <c r="O108" s="2">
        <v>3092000000</v>
      </c>
      <c r="P108" s="6">
        <f t="shared" si="1"/>
        <v>8022000000</v>
      </c>
    </row>
    <row r="109" spans="1:16">
      <c r="A109">
        <v>2024</v>
      </c>
      <c r="B109" t="s">
        <v>36</v>
      </c>
      <c r="C109" s="3" t="str">
        <f>_xlfn.XLOOKUP(B109, 'Revenue Codes'!$A$2:$A$99, 'Revenue Codes'!$B$2:$B$99, "")</f>
        <v>ESC</v>
      </c>
      <c r="D109" s="2" t="s">
        <v>46</v>
      </c>
      <c r="E109" s="2">
        <v>3000000</v>
      </c>
      <c r="F109" s="2">
        <v>196000000</v>
      </c>
      <c r="G109" s="2" t="s">
        <v>46</v>
      </c>
      <c r="H109" s="2">
        <v>2000000</v>
      </c>
      <c r="I109" s="2">
        <v>1000000</v>
      </c>
      <c r="J109" s="2" t="s">
        <v>47</v>
      </c>
      <c r="K109" s="2">
        <v>88000</v>
      </c>
      <c r="L109" s="2" t="s">
        <v>47</v>
      </c>
      <c r="M109" s="2">
        <v>1000000</v>
      </c>
      <c r="N109" s="2" t="s">
        <v>47</v>
      </c>
      <c r="O109" s="2">
        <v>47000</v>
      </c>
      <c r="P109" s="6">
        <f t="shared" si="1"/>
        <v>203135000</v>
      </c>
    </row>
    <row r="110" spans="1:16">
      <c r="A110">
        <v>2024</v>
      </c>
      <c r="B110" t="s">
        <v>33</v>
      </c>
      <c r="C110" s="3" t="str">
        <f>_xlfn.XLOOKUP(B110, 'Revenue Codes'!$A$2:$A$99, 'Revenue Codes'!$B$2:$B$99, "")</f>
        <v>NBT</v>
      </c>
      <c r="D110" s="2">
        <v>1000000</v>
      </c>
      <c r="E110" s="2">
        <v>2000000</v>
      </c>
      <c r="F110" s="2" t="s">
        <v>46</v>
      </c>
      <c r="G110" s="2" t="s">
        <v>46</v>
      </c>
      <c r="H110" s="2" t="s">
        <v>46</v>
      </c>
      <c r="I110" s="2" t="s">
        <v>46</v>
      </c>
      <c r="J110" s="2" t="s">
        <v>47</v>
      </c>
      <c r="K110" s="2">
        <v>248000</v>
      </c>
      <c r="L110" s="2">
        <v>1000000</v>
      </c>
      <c r="M110" s="2" t="s">
        <v>47</v>
      </c>
      <c r="N110" s="2" t="s">
        <v>47</v>
      </c>
      <c r="O110" s="2">
        <v>3000000</v>
      </c>
      <c r="P110" s="6">
        <f t="shared" si="1"/>
        <v>7248000</v>
      </c>
    </row>
    <row r="111" spans="1:16">
      <c r="A111">
        <v>2024</v>
      </c>
      <c r="B111" t="s">
        <v>26</v>
      </c>
      <c r="C111" s="3" t="str">
        <f>_xlfn.XLOOKUP(B111, 'Revenue Codes'!$A$2:$A$99, 'Revenue Codes'!$B$2:$B$99, "")</f>
        <v>VAT</v>
      </c>
      <c r="D111" s="2">
        <v>42308000000</v>
      </c>
      <c r="E111" s="2">
        <v>46760000000</v>
      </c>
      <c r="F111" s="2">
        <v>42665000000</v>
      </c>
      <c r="G111" s="2">
        <v>48981000000</v>
      </c>
      <c r="H111" s="2">
        <v>45478000000</v>
      </c>
      <c r="I111" s="2">
        <v>28369000000</v>
      </c>
      <c r="J111" s="2">
        <v>60613000000</v>
      </c>
      <c r="K111" s="2">
        <v>58935000000</v>
      </c>
      <c r="L111" s="2">
        <v>62020000000</v>
      </c>
      <c r="M111" s="2">
        <v>55489000000</v>
      </c>
      <c r="N111" s="2">
        <v>48460000000</v>
      </c>
      <c r="O111" s="2">
        <v>57415000000</v>
      </c>
      <c r="P111" s="6">
        <f t="shared" si="1"/>
        <v>597493000000</v>
      </c>
    </row>
    <row r="112" spans="1:16">
      <c r="A112">
        <v>2024</v>
      </c>
      <c r="B112" t="s">
        <v>44</v>
      </c>
      <c r="C112" s="3" t="str">
        <f>_xlfn.XLOOKUP(B112, 'Revenue Codes'!$A$2:$A$99, 'Revenue Codes'!$B$2:$B$99, "")</f>
        <v>SSCL</v>
      </c>
      <c r="D112" s="2">
        <v>5234000000</v>
      </c>
      <c r="E112" s="2">
        <v>5365450000</v>
      </c>
      <c r="F112" s="2">
        <v>4861000000</v>
      </c>
      <c r="G112" s="2">
        <v>4610000000</v>
      </c>
      <c r="H112" s="2">
        <v>4397000000</v>
      </c>
      <c r="I112" s="2">
        <v>3643000000</v>
      </c>
      <c r="J112" s="2">
        <v>7084000000</v>
      </c>
      <c r="K112" s="2">
        <v>5727000000</v>
      </c>
      <c r="L112" s="2">
        <v>5687000000</v>
      </c>
      <c r="M112" s="2">
        <v>5810000000</v>
      </c>
      <c r="N112" s="2">
        <v>5186000000</v>
      </c>
      <c r="O112" s="2">
        <v>6789000000</v>
      </c>
      <c r="P112" s="6">
        <f t="shared" si="1"/>
        <v>64393450000</v>
      </c>
    </row>
    <row r="113" spans="1:17">
      <c r="A113">
        <v>2024</v>
      </c>
      <c r="B113" t="s">
        <v>25</v>
      </c>
      <c r="C113" s="3" t="str">
        <f>_xlfn.XLOOKUP(B113, 'Revenue Codes'!$A$2:$A$99, 'Revenue Codes'!$B$2:$B$99, "")</f>
        <v>LXT</v>
      </c>
      <c r="D113" s="2">
        <v>147000000</v>
      </c>
      <c r="E113" s="2">
        <v>148000000</v>
      </c>
      <c r="F113" s="2">
        <v>206000000</v>
      </c>
      <c r="G113" s="2">
        <v>62000000</v>
      </c>
      <c r="H113" s="2">
        <v>178000000</v>
      </c>
      <c r="I113" s="2">
        <v>195000000</v>
      </c>
      <c r="J113" s="2">
        <v>201000000</v>
      </c>
      <c r="K113" s="2">
        <v>507000000</v>
      </c>
      <c r="L113" s="2">
        <v>288000000</v>
      </c>
      <c r="M113" s="2">
        <v>347000000</v>
      </c>
      <c r="N113" s="2">
        <v>223000000</v>
      </c>
      <c r="O113" s="2">
        <v>269000000</v>
      </c>
      <c r="P113" s="6">
        <f t="shared" si="1"/>
        <v>2771000000</v>
      </c>
    </row>
    <row r="114" spans="1:17">
      <c r="A114">
        <v>2024</v>
      </c>
      <c r="B114" t="s">
        <v>39</v>
      </c>
      <c r="C114" s="3" t="str">
        <f>_xlfn.XLOOKUP(B114, 'Revenue Codes'!$A$2:$A$99, 'Revenue Codes'!$B$2:$B$99, "")</f>
        <v>Sundris &amp; Others</v>
      </c>
      <c r="D114" s="2">
        <v>23000000</v>
      </c>
      <c r="E114" s="2">
        <v>16000000</v>
      </c>
      <c r="F114" s="2">
        <v>29000000</v>
      </c>
      <c r="G114" s="2">
        <v>23000000</v>
      </c>
      <c r="H114" s="2">
        <v>28000000</v>
      </c>
      <c r="I114" s="2">
        <v>22000000</v>
      </c>
      <c r="J114" s="2">
        <v>26000000</v>
      </c>
      <c r="K114" s="2">
        <v>26000000</v>
      </c>
      <c r="L114" s="2">
        <v>28000000</v>
      </c>
      <c r="M114" s="2">
        <v>24000000</v>
      </c>
      <c r="N114" s="2">
        <v>25000000</v>
      </c>
      <c r="O114" s="2">
        <v>28000000</v>
      </c>
      <c r="P114" s="6">
        <f t="shared" si="1"/>
        <v>298000000</v>
      </c>
    </row>
    <row r="115" spans="1:17">
      <c r="A115">
        <v>2024</v>
      </c>
      <c r="B115" t="s">
        <v>40</v>
      </c>
      <c r="C115" s="3" t="str">
        <f>_xlfn.XLOOKUP(B115, 'Revenue Codes'!$A$2:$A$99, 'Revenue Codes'!$B$2:$B$99, "")</f>
        <v>Other Receipts</v>
      </c>
      <c r="D115" s="2">
        <v>12000000</v>
      </c>
      <c r="E115" s="2">
        <v>19000000</v>
      </c>
      <c r="F115" s="2">
        <v>8000000</v>
      </c>
      <c r="G115" s="2">
        <v>10000000</v>
      </c>
      <c r="H115" s="2">
        <v>14000000</v>
      </c>
      <c r="I115" s="2">
        <v>4000000</v>
      </c>
      <c r="J115" s="2">
        <v>11000000</v>
      </c>
      <c r="K115" s="2">
        <v>8000000</v>
      </c>
      <c r="L115" s="2">
        <v>11000000</v>
      </c>
      <c r="M115" s="2">
        <v>9000000</v>
      </c>
      <c r="N115" s="2">
        <v>5000000</v>
      </c>
      <c r="O115" s="2">
        <v>11249000</v>
      </c>
      <c r="P115" s="6">
        <f t="shared" si="1"/>
        <v>122249000</v>
      </c>
      <c r="Q115" s="2"/>
    </row>
    <row r="116" spans="1:17">
      <c r="A116">
        <v>2025</v>
      </c>
      <c r="B116" t="s">
        <v>17</v>
      </c>
      <c r="C116" s="3" t="str">
        <f>_xlfn.XLOOKUP(B116, 'Revenue Codes'!$A$2:$A$99, 'Revenue Codes'!$B$2:$B$99, "")</f>
        <v xml:space="preserve">Import Duty </v>
      </c>
      <c r="D116" s="2">
        <v>9576938116</v>
      </c>
      <c r="E116" s="2">
        <v>10765595261.25</v>
      </c>
      <c r="F116" s="2">
        <v>15173255413.690001</v>
      </c>
      <c r="G116" s="2">
        <v>21022418397.740002</v>
      </c>
      <c r="H116" s="2">
        <v>16718344076.309999</v>
      </c>
      <c r="I116" s="2">
        <v>20695898665</v>
      </c>
      <c r="J116" s="2">
        <v>27996372948</v>
      </c>
      <c r="K116" s="2">
        <v>29039626048.599998</v>
      </c>
      <c r="L116" s="2">
        <v>28044876718</v>
      </c>
      <c r="M116" s="2">
        <v>31036526520</v>
      </c>
      <c r="N116" s="2">
        <v>30803009892.529999</v>
      </c>
      <c r="O116" s="2">
        <v>32768204404.720001</v>
      </c>
      <c r="P116" s="6">
        <f t="shared" si="1"/>
        <v>273641066461.84</v>
      </c>
      <c r="Q116" s="2"/>
    </row>
    <row r="117" spans="1:17">
      <c r="A117">
        <v>2025</v>
      </c>
      <c r="B117" t="s">
        <v>19</v>
      </c>
      <c r="C117" s="3" t="str">
        <f>_xlfn.XLOOKUP(B117, 'Revenue Codes'!$A$2:$A$99, 'Revenue Codes'!$B$2:$B$99, "")</f>
        <v xml:space="preserve">Export Duty </v>
      </c>
      <c r="D117" s="2">
        <v>2118022</v>
      </c>
      <c r="E117" s="2">
        <v>2340839</v>
      </c>
      <c r="F117" s="2">
        <v>180696330</v>
      </c>
      <c r="G117" s="2">
        <v>-174493246</v>
      </c>
      <c r="H117" s="2">
        <v>4133736</v>
      </c>
      <c r="I117" s="2">
        <v>928637</v>
      </c>
      <c r="J117" s="2">
        <v>231030</v>
      </c>
      <c r="K117" s="2">
        <v>552556</v>
      </c>
      <c r="L117" s="2">
        <v>466379</v>
      </c>
      <c r="M117" s="2">
        <v>614279</v>
      </c>
      <c r="N117" s="2">
        <v>484702</v>
      </c>
      <c r="O117" s="2">
        <v>114458</v>
      </c>
      <c r="P117" s="6">
        <f t="shared" si="1"/>
        <v>18187722</v>
      </c>
    </row>
    <row r="118" spans="1:17">
      <c r="A118">
        <v>2025</v>
      </c>
      <c r="B118" t="s">
        <v>20</v>
      </c>
      <c r="C118" s="3" t="str">
        <f>_xlfn.XLOOKUP(B118, 'Revenue Codes'!$A$2:$A$99, 'Revenue Codes'!$B$2:$B$99, "")</f>
        <v xml:space="preserve">PAL </v>
      </c>
      <c r="D118" s="2">
        <v>12895322674</v>
      </c>
      <c r="E118" s="2">
        <v>13030549057.219999</v>
      </c>
      <c r="F118" s="2">
        <v>16123101004.58</v>
      </c>
      <c r="G118" s="2">
        <v>13695749493.09</v>
      </c>
      <c r="H118" s="2">
        <v>16769476953.530001</v>
      </c>
      <c r="I118" s="2">
        <v>12917036838.33</v>
      </c>
      <c r="J118" s="2">
        <v>15273397248.01</v>
      </c>
      <c r="K118" s="2">
        <v>15181775084.18</v>
      </c>
      <c r="L118" s="2">
        <v>14303021083</v>
      </c>
      <c r="M118" s="2">
        <v>16692102934.530001</v>
      </c>
      <c r="N118" s="2">
        <v>14167470956.200001</v>
      </c>
      <c r="O118" s="2">
        <v>14414041</v>
      </c>
      <c r="P118" s="6">
        <f t="shared" si="1"/>
        <v>161063417367.67001</v>
      </c>
    </row>
    <row r="119" spans="1:17">
      <c r="A119">
        <v>2025</v>
      </c>
      <c r="B119" t="s">
        <v>21</v>
      </c>
      <c r="C119" s="3" t="str">
        <f>_xlfn.XLOOKUP(B119, 'Revenue Codes'!$A$2:$A$99, 'Revenue Codes'!$B$2:$B$99, "")</f>
        <v xml:space="preserve">Cess (Import) </v>
      </c>
      <c r="D119" s="2">
        <v>7112714666</v>
      </c>
      <c r="E119" s="2">
        <v>7404125141.5</v>
      </c>
      <c r="F119" s="2">
        <v>6480720228</v>
      </c>
      <c r="G119" s="2">
        <v>6807415570</v>
      </c>
      <c r="H119" s="2">
        <v>6209411848.8999996</v>
      </c>
      <c r="I119" s="2">
        <v>6805289164</v>
      </c>
      <c r="J119" s="2">
        <v>7905058763</v>
      </c>
      <c r="K119" s="2">
        <v>6850065477.25</v>
      </c>
      <c r="L119" s="2">
        <v>7553072361</v>
      </c>
      <c r="M119" s="2">
        <v>8406750821.8100004</v>
      </c>
      <c r="N119" s="2">
        <v>7479291124</v>
      </c>
      <c r="O119" s="2">
        <v>18865103854.439999</v>
      </c>
      <c r="P119" s="6">
        <f t="shared" si="1"/>
        <v>97879019019.900009</v>
      </c>
    </row>
    <row r="120" spans="1:17">
      <c r="A120">
        <v>2025</v>
      </c>
      <c r="B120" t="s">
        <v>22</v>
      </c>
      <c r="C120" s="3" t="str">
        <f>_xlfn.XLOOKUP(B120, 'Revenue Codes'!$A$2:$A$99, 'Revenue Codes'!$B$2:$B$99, "")</f>
        <v>Cess (Export)</v>
      </c>
      <c r="D120" s="2">
        <v>100608470</v>
      </c>
      <c r="E120" s="2">
        <v>85926744</v>
      </c>
      <c r="F120" s="2">
        <v>103313324</v>
      </c>
      <c r="G120" s="2">
        <v>219906027</v>
      </c>
      <c r="H120" s="2">
        <v>118025229</v>
      </c>
      <c r="I120" s="2">
        <v>8451847</v>
      </c>
      <c r="J120" s="2">
        <v>124701254</v>
      </c>
      <c r="K120" s="2">
        <v>193360922</v>
      </c>
      <c r="L120" s="2">
        <v>247382001</v>
      </c>
      <c r="M120" s="2">
        <v>182446196</v>
      </c>
      <c r="N120" s="2">
        <v>99238246</v>
      </c>
      <c r="O120" s="2">
        <v>9714508756.4599991</v>
      </c>
      <c r="P120" s="6">
        <f t="shared" si="1"/>
        <v>11197869016.459999</v>
      </c>
    </row>
    <row r="121" spans="1:17" ht="30.75">
      <c r="A121">
        <v>2025</v>
      </c>
      <c r="B121" t="s">
        <v>23</v>
      </c>
      <c r="C121" s="3" t="str">
        <f>_xlfn.XLOOKUP(B121, 'Revenue Codes'!$A$2:$A$99, 'Revenue Codes'!$B$2:$B$99, "")</f>
        <v>Motor Vehicle (Conc.) Levy</v>
      </c>
      <c r="D121" s="2">
        <v>132675</v>
      </c>
      <c r="F121" s="2" t="s">
        <v>48</v>
      </c>
      <c r="G121" s="2" t="s">
        <v>49</v>
      </c>
      <c r="H121" s="2" t="s">
        <v>50</v>
      </c>
      <c r="J121" s="2" t="s">
        <v>50</v>
      </c>
      <c r="K121" s="2" t="s">
        <v>50</v>
      </c>
      <c r="L121" s="2" t="s">
        <v>51</v>
      </c>
      <c r="M121" s="2">
        <v>17589</v>
      </c>
      <c r="O121" s="2">
        <v>160735183</v>
      </c>
      <c r="P121" s="6">
        <f t="shared" si="1"/>
        <v>160885447</v>
      </c>
    </row>
    <row r="122" spans="1:17">
      <c r="A122">
        <v>2025</v>
      </c>
      <c r="B122" t="s">
        <v>24</v>
      </c>
      <c r="C122" s="3" t="str">
        <f>_xlfn.XLOOKUP(B122, 'Revenue Codes'!$A$2:$A$99, 'Revenue Codes'!$B$2:$B$99, "")</f>
        <v>SCL</v>
      </c>
      <c r="D122" s="2">
        <v>19302198430</v>
      </c>
      <c r="E122" s="2">
        <v>13128822909</v>
      </c>
      <c r="F122" s="2">
        <v>11651036506</v>
      </c>
      <c r="G122" s="2">
        <v>9707157114</v>
      </c>
      <c r="H122" s="2">
        <v>9775343405</v>
      </c>
      <c r="I122" s="2">
        <v>14014758003</v>
      </c>
      <c r="J122" s="2">
        <v>13447189689</v>
      </c>
      <c r="K122" s="2">
        <v>12614466129</v>
      </c>
      <c r="L122" s="2">
        <v>13154600703</v>
      </c>
      <c r="M122" s="2">
        <v>17574722273</v>
      </c>
      <c r="N122" s="2">
        <v>14285833579</v>
      </c>
      <c r="O122" s="2" t="s">
        <v>49</v>
      </c>
      <c r="P122" s="6">
        <f t="shared" si="1"/>
        <v>148656128740</v>
      </c>
    </row>
    <row r="123" spans="1:17">
      <c r="A123">
        <v>2025</v>
      </c>
      <c r="B123" t="s">
        <v>28</v>
      </c>
      <c r="C123" s="3" t="str">
        <f>_xlfn.XLOOKUP(B123, 'Revenue Codes'!$A$2:$A$99, 'Revenue Codes'!$B$2:$B$99, "")</f>
        <v>Cigarette</v>
      </c>
      <c r="D123" s="2">
        <v>11426177640</v>
      </c>
      <c r="E123" s="2">
        <v>8631479338</v>
      </c>
      <c r="F123" s="2">
        <v>6345431050</v>
      </c>
      <c r="G123" s="2">
        <v>8827205180</v>
      </c>
      <c r="H123" s="2">
        <v>10370291150</v>
      </c>
      <c r="I123" s="2">
        <v>-2208938198</v>
      </c>
      <c r="J123" s="2">
        <v>9633192000</v>
      </c>
      <c r="K123" s="2">
        <v>8908029330</v>
      </c>
      <c r="L123" s="2">
        <v>8599210945</v>
      </c>
      <c r="M123" s="2">
        <v>10015095406</v>
      </c>
      <c r="N123" s="2">
        <v>11099079658</v>
      </c>
      <c r="O123" s="2">
        <v>15379406755</v>
      </c>
      <c r="P123" s="6">
        <f t="shared" si="1"/>
        <v>107025660254</v>
      </c>
    </row>
    <row r="124" spans="1:17">
      <c r="A124">
        <v>2025</v>
      </c>
      <c r="B124" t="s">
        <v>29</v>
      </c>
      <c r="C124" s="3" t="str">
        <f>_xlfn.XLOOKUP(B124, 'Revenue Codes'!$A$2:$A$99, 'Revenue Codes'!$B$2:$B$99, "")</f>
        <v>Liquor</v>
      </c>
      <c r="D124" s="2" t="s">
        <v>52</v>
      </c>
      <c r="E124" s="2" t="s">
        <v>50</v>
      </c>
      <c r="F124" s="2" t="s">
        <v>48</v>
      </c>
      <c r="G124" s="2" t="s">
        <v>49</v>
      </c>
      <c r="H124" s="2">
        <v>3675</v>
      </c>
      <c r="J124" s="2" t="s">
        <v>50</v>
      </c>
      <c r="K124" s="2">
        <v>2000</v>
      </c>
      <c r="L124" s="2" t="s">
        <v>51</v>
      </c>
      <c r="M124" s="2" t="s">
        <v>50</v>
      </c>
      <c r="N124" s="2" t="s">
        <v>50</v>
      </c>
      <c r="O124" s="2">
        <v>9526908000</v>
      </c>
      <c r="P124" s="6">
        <f t="shared" si="1"/>
        <v>9526913675</v>
      </c>
    </row>
    <row r="125" spans="1:17">
      <c r="A125">
        <v>2025</v>
      </c>
      <c r="B125" t="s">
        <v>30</v>
      </c>
      <c r="C125" s="3" t="str">
        <f>_xlfn.XLOOKUP(B125, 'Revenue Codes'!$A$2:$A$99, 'Revenue Codes'!$B$2:$B$99, "")</f>
        <v>Petroleum Products</v>
      </c>
      <c r="D125" s="2">
        <v>15040521289.610001</v>
      </c>
      <c r="E125" s="2">
        <v>16526307687.799999</v>
      </c>
      <c r="F125" s="2">
        <v>20596358205.389999</v>
      </c>
      <c r="G125" s="2">
        <v>20705835257.25</v>
      </c>
      <c r="H125" s="2">
        <v>18755965767.080002</v>
      </c>
      <c r="I125" s="2">
        <v>20364807886.93</v>
      </c>
      <c r="J125" s="2">
        <v>4566916176.8199997</v>
      </c>
      <c r="K125" s="2">
        <v>4230292723.8200002</v>
      </c>
      <c r="L125" s="2">
        <v>2554340106.6399999</v>
      </c>
      <c r="M125" s="2">
        <v>78658925869.869995</v>
      </c>
      <c r="N125" s="2">
        <v>18465275193.27</v>
      </c>
      <c r="O125" s="2">
        <v>19271986560.599998</v>
      </c>
      <c r="P125" s="6">
        <f t="shared" si="1"/>
        <v>239737532725.08002</v>
      </c>
    </row>
    <row r="126" spans="1:17">
      <c r="A126">
        <v>2025</v>
      </c>
      <c r="B126" t="s">
        <v>31</v>
      </c>
      <c r="C126" s="3" t="str">
        <f>_xlfn.XLOOKUP(B126, 'Revenue Codes'!$A$2:$A$99, 'Revenue Codes'!$B$2:$B$99, "")</f>
        <v>Motor Vehicles</v>
      </c>
      <c r="D126" s="2">
        <v>6018031834.1599998</v>
      </c>
      <c r="E126" s="2">
        <v>1139826438</v>
      </c>
      <c r="F126" s="2">
        <v>9880147455</v>
      </c>
      <c r="G126" s="2">
        <v>36183424005</v>
      </c>
      <c r="H126" s="2">
        <v>33208790732</v>
      </c>
      <c r="I126" s="2">
        <v>42716071744</v>
      </c>
      <c r="J126" s="2">
        <v>63588245645</v>
      </c>
      <c r="K126" s="2">
        <v>77791857144</v>
      </c>
      <c r="L126" s="2">
        <v>78732257322</v>
      </c>
      <c r="M126" s="2">
        <v>245522612</v>
      </c>
      <c r="N126" s="2">
        <v>61020279016</v>
      </c>
      <c r="O126" s="2">
        <v>61226939311</v>
      </c>
      <c r="P126" s="6">
        <f t="shared" si="1"/>
        <v>471751393258.16003</v>
      </c>
      <c r="Q126" s="2"/>
    </row>
    <row r="127" spans="1:17">
      <c r="A127">
        <v>2025</v>
      </c>
      <c r="B127" t="s">
        <v>32</v>
      </c>
      <c r="C127" s="3" t="str">
        <f>_xlfn.XLOOKUP(B127, 'Revenue Codes'!$A$2:$A$99, 'Revenue Codes'!$B$2:$B$99, "")</f>
        <v>Excise (Other)</v>
      </c>
      <c r="D127" s="2">
        <v>1384494042.22</v>
      </c>
      <c r="E127" s="2">
        <v>731617558.10000002</v>
      </c>
      <c r="F127" s="2">
        <v>974991040</v>
      </c>
      <c r="G127" s="2">
        <v>1674903089.3599999</v>
      </c>
      <c r="H127" s="2">
        <v>423053934.13999999</v>
      </c>
      <c r="I127" s="2">
        <v>571136259</v>
      </c>
      <c r="J127" s="2">
        <v>1740276782.6900001</v>
      </c>
      <c r="K127" s="2">
        <v>604951641.13</v>
      </c>
      <c r="L127" s="2">
        <v>710293052</v>
      </c>
      <c r="M127" s="2">
        <v>2113074590.04</v>
      </c>
      <c r="N127" s="2">
        <v>719202915.20000005</v>
      </c>
      <c r="O127" s="2">
        <v>472130437</v>
      </c>
      <c r="P127" s="6">
        <f t="shared" si="1"/>
        <v>12120125340.880001</v>
      </c>
    </row>
    <row r="128" spans="1:17">
      <c r="A128">
        <v>2025</v>
      </c>
      <c r="B128" t="s">
        <v>35</v>
      </c>
      <c r="C128" s="3" t="str">
        <f>_xlfn.XLOOKUP(B128, 'Revenue Codes'!$A$2:$A$99, 'Revenue Codes'!$B$2:$B$99, "")</f>
        <v>VEL</v>
      </c>
      <c r="D128" s="2">
        <v>24358745</v>
      </c>
      <c r="E128" s="2">
        <v>24964533</v>
      </c>
      <c r="F128" s="2">
        <v>56179734</v>
      </c>
      <c r="G128" s="2">
        <v>128086746</v>
      </c>
      <c r="H128" s="2">
        <v>116897754</v>
      </c>
      <c r="I128" s="2">
        <v>4857122974</v>
      </c>
      <c r="J128" s="2">
        <v>228113000</v>
      </c>
      <c r="K128" s="2">
        <v>255061999</v>
      </c>
      <c r="L128" s="2">
        <v>-4372041748</v>
      </c>
      <c r="M128" s="2">
        <v>303033600</v>
      </c>
      <c r="N128" s="2">
        <v>309654000</v>
      </c>
      <c r="O128" s="2">
        <v>328284000</v>
      </c>
      <c r="P128" s="6">
        <f t="shared" si="1"/>
        <v>2259715337</v>
      </c>
    </row>
    <row r="129" spans="1:17">
      <c r="A129">
        <v>2025</v>
      </c>
      <c r="B129" t="s">
        <v>37</v>
      </c>
      <c r="C129" s="3" t="str">
        <f>_xlfn.XLOOKUP(B129, 'Revenue Codes'!$A$2:$A$99, 'Revenue Codes'!$B$2:$B$99, "")</f>
        <v>Sales of Garment</v>
      </c>
      <c r="D129" s="2">
        <v>6757975</v>
      </c>
      <c r="E129" s="2">
        <v>4836975</v>
      </c>
      <c r="F129" s="2">
        <v>9265650</v>
      </c>
      <c r="G129" s="2">
        <v>8133487</v>
      </c>
      <c r="H129" s="2">
        <v>7866849</v>
      </c>
      <c r="I129" s="2">
        <v>4998800</v>
      </c>
      <c r="J129" s="2">
        <v>-1200</v>
      </c>
      <c r="K129" s="2">
        <v>11153350</v>
      </c>
      <c r="L129" s="2">
        <v>9250</v>
      </c>
      <c r="M129" s="2">
        <v>25466681</v>
      </c>
      <c r="N129" s="2">
        <v>8047975</v>
      </c>
      <c r="O129" s="2">
        <v>16162725</v>
      </c>
      <c r="P129" s="6">
        <f t="shared" si="1"/>
        <v>102698517</v>
      </c>
    </row>
    <row r="130" spans="1:17">
      <c r="A130">
        <v>2025</v>
      </c>
      <c r="B130" t="s">
        <v>38</v>
      </c>
      <c r="C130" s="3" t="str">
        <f>_xlfn.XLOOKUP(B130, 'Revenue Codes'!$A$2:$A$99, 'Revenue Codes'!$B$2:$B$99, "")</f>
        <v>Fine &amp; Forfeits</v>
      </c>
      <c r="D130" s="2">
        <v>452330851.95999998</v>
      </c>
      <c r="E130" s="2">
        <v>134399567.40000001</v>
      </c>
      <c r="F130" s="2">
        <v>206126217.34</v>
      </c>
      <c r="G130" s="2">
        <v>268013298.84</v>
      </c>
      <c r="H130" s="2">
        <v>729662338.65999997</v>
      </c>
      <c r="I130" s="2">
        <v>420902070.44999999</v>
      </c>
      <c r="J130" s="2">
        <v>799317123.65999997</v>
      </c>
      <c r="K130" s="2">
        <v>585633027.65999997</v>
      </c>
      <c r="L130" s="2">
        <v>333869425.92000002</v>
      </c>
      <c r="M130" s="2">
        <v>484596225.57999998</v>
      </c>
      <c r="N130" s="2">
        <v>419714347.89999998</v>
      </c>
      <c r="O130" s="2">
        <v>580081909.79999995</v>
      </c>
      <c r="P130" s="6">
        <f t="shared" si="1"/>
        <v>5414646405.1700001</v>
      </c>
    </row>
    <row r="131" spans="1:17">
      <c r="A131">
        <v>2025</v>
      </c>
      <c r="B131" t="s">
        <v>25</v>
      </c>
      <c r="C131" s="3" t="str">
        <f>_xlfn.XLOOKUP(B131, 'Revenue Codes'!$A$2:$A$99, 'Revenue Codes'!$B$2:$B$99, "")</f>
        <v>LXT</v>
      </c>
      <c r="D131" s="2">
        <v>33365151</v>
      </c>
      <c r="E131" s="2">
        <v>81764257</v>
      </c>
      <c r="F131" s="2">
        <v>1151828167</v>
      </c>
      <c r="G131" s="2">
        <v>5300040733</v>
      </c>
      <c r="H131" s="2">
        <v>4746214375</v>
      </c>
      <c r="I131" s="2">
        <v>4610221</v>
      </c>
      <c r="J131" s="2">
        <v>5521806078</v>
      </c>
      <c r="K131" s="2">
        <v>5391687570</v>
      </c>
      <c r="L131" s="2">
        <v>11043371099</v>
      </c>
      <c r="M131" s="2">
        <v>7441576762</v>
      </c>
      <c r="N131" s="2">
        <v>5842925086</v>
      </c>
      <c r="O131" s="2">
        <v>5488999974</v>
      </c>
      <c r="P131" s="6">
        <f t="shared" ref="P131:P193" si="2">SUM(D131:O131)</f>
        <v>52048189473</v>
      </c>
    </row>
    <row r="132" spans="1:17">
      <c r="A132">
        <v>2025</v>
      </c>
      <c r="B132" t="s">
        <v>26</v>
      </c>
      <c r="C132" s="3" t="str">
        <f>_xlfn.XLOOKUP(B132, 'Revenue Codes'!$A$2:$A$99, 'Revenue Codes'!$B$2:$B$99, "")</f>
        <v>VAT</v>
      </c>
      <c r="D132" s="2">
        <v>53082486493</v>
      </c>
      <c r="E132" s="2">
        <v>49040476328.800003</v>
      </c>
      <c r="F132" s="2">
        <v>52963396697.620003</v>
      </c>
      <c r="G132" s="2">
        <v>67640919755.230003</v>
      </c>
      <c r="H132" s="2">
        <v>58029176541.419998</v>
      </c>
      <c r="I132" s="2">
        <v>73619405478.860001</v>
      </c>
      <c r="J132" s="2">
        <v>78500226727.419998</v>
      </c>
      <c r="K132" s="2">
        <v>83427852779.410004</v>
      </c>
      <c r="L132" s="2">
        <v>88237559952.389999</v>
      </c>
      <c r="M132" s="2">
        <v>97315543124.270004</v>
      </c>
      <c r="N132" s="2">
        <v>88804242423.320007</v>
      </c>
      <c r="O132" s="2">
        <v>100715207658.13</v>
      </c>
      <c r="P132" s="6">
        <f t="shared" si="2"/>
        <v>891376493959.87</v>
      </c>
      <c r="Q132" s="2"/>
    </row>
    <row r="133" spans="1:17">
      <c r="A133">
        <v>2025</v>
      </c>
      <c r="B133" t="s">
        <v>33</v>
      </c>
      <c r="C133" s="3" t="str">
        <f>_xlfn.XLOOKUP(B133, 'Revenue Codes'!$A$2:$A$99, 'Revenue Codes'!$B$2:$B$99, "")</f>
        <v>NBT</v>
      </c>
      <c r="D133" s="2">
        <v>-1</v>
      </c>
      <c r="E133" s="2">
        <v>800057</v>
      </c>
      <c r="F133" s="2">
        <v>234108</v>
      </c>
      <c r="G133" s="2">
        <v>28207</v>
      </c>
      <c r="H133" s="2" t="s">
        <v>50</v>
      </c>
      <c r="I133" s="2">
        <v>404123136</v>
      </c>
      <c r="J133" s="2">
        <v>1679689</v>
      </c>
      <c r="K133" s="2">
        <v>-703495</v>
      </c>
      <c r="L133" s="2">
        <v>500</v>
      </c>
      <c r="M133" s="2">
        <v>345601</v>
      </c>
      <c r="N133" s="2">
        <v>913501</v>
      </c>
      <c r="O133" s="2">
        <v>15229</v>
      </c>
      <c r="P133" s="6">
        <f t="shared" si="2"/>
        <v>407436532</v>
      </c>
    </row>
    <row r="134" spans="1:17">
      <c r="A134">
        <v>2025</v>
      </c>
      <c r="B134" t="s">
        <v>45</v>
      </c>
      <c r="C134" s="3" t="str">
        <f>_xlfn.XLOOKUP(B134, 'Revenue Codes'!$A$2:$A$99, 'Revenue Codes'!$B$2:$B$99, "")</f>
        <v>SSL</v>
      </c>
      <c r="D134" s="2">
        <v>6103966619</v>
      </c>
      <c r="E134" s="2">
        <v>5399097918</v>
      </c>
      <c r="F134" s="2">
        <v>5258668375</v>
      </c>
      <c r="G134" s="2">
        <v>5570604923</v>
      </c>
      <c r="H134" s="2">
        <v>5302233428</v>
      </c>
      <c r="I134" s="2">
        <v>5426435348</v>
      </c>
      <c r="J134" s="2">
        <v>6262679251</v>
      </c>
      <c r="K134" s="2">
        <v>5460242540</v>
      </c>
      <c r="L134" s="2">
        <v>6413412979</v>
      </c>
      <c r="M134" s="2">
        <v>7092295160</v>
      </c>
      <c r="N134" s="2">
        <v>6120833311</v>
      </c>
      <c r="O134" s="2">
        <v>8203235672</v>
      </c>
      <c r="P134" s="6">
        <f t="shared" si="2"/>
        <v>72613705524</v>
      </c>
    </row>
    <row r="135" spans="1:17">
      <c r="A135">
        <v>2025</v>
      </c>
      <c r="B135" t="s">
        <v>36</v>
      </c>
      <c r="C135" s="3" t="str">
        <f>_xlfn.XLOOKUP(B135, 'Revenue Codes'!$A$2:$A$99, 'Revenue Codes'!$B$2:$B$99, "")</f>
        <v>ESC</v>
      </c>
      <c r="D135" s="2">
        <v>-1</v>
      </c>
      <c r="E135" s="2" t="s">
        <v>50</v>
      </c>
      <c r="F135" s="2" t="s">
        <v>48</v>
      </c>
      <c r="G135" s="2" t="s">
        <v>49</v>
      </c>
      <c r="H135" s="2" t="s">
        <v>50</v>
      </c>
      <c r="I135" s="2" t="s">
        <v>50</v>
      </c>
      <c r="J135" s="2" t="s">
        <v>50</v>
      </c>
      <c r="K135" s="2" t="s">
        <v>50</v>
      </c>
      <c r="L135" s="2" t="s">
        <v>51</v>
      </c>
      <c r="M135" s="2" t="s">
        <v>50</v>
      </c>
      <c r="N135" s="2">
        <v>3667.84</v>
      </c>
      <c r="O135" s="2" t="s">
        <v>49</v>
      </c>
      <c r="P135" s="6">
        <f t="shared" si="2"/>
        <v>3666.84</v>
      </c>
    </row>
    <row r="136" spans="1:17">
      <c r="A136">
        <v>2025</v>
      </c>
      <c r="B136" t="s">
        <v>39</v>
      </c>
      <c r="C136" s="3" t="str">
        <f>_xlfn.XLOOKUP(B136, 'Revenue Codes'!$A$2:$A$99, 'Revenue Codes'!$B$2:$B$99, "")</f>
        <v>Sundris &amp; Others</v>
      </c>
      <c r="D136" s="2">
        <v>16288420</v>
      </c>
      <c r="E136" s="2">
        <v>17284710.260000002</v>
      </c>
      <c r="F136" s="2">
        <v>19867605.850000001</v>
      </c>
      <c r="G136" s="2">
        <v>43823719.609999999</v>
      </c>
      <c r="H136" s="2">
        <v>18400915.489999998</v>
      </c>
      <c r="I136" s="2">
        <v>49637787.219999999</v>
      </c>
      <c r="J136" s="2">
        <v>34157948.219999999</v>
      </c>
      <c r="K136" s="2">
        <v>34201874.490000002</v>
      </c>
      <c r="L136" s="2">
        <v>33938114.670000002</v>
      </c>
      <c r="M136" s="2">
        <v>37099313.920000002</v>
      </c>
      <c r="N136" s="2">
        <v>36133580.810000002</v>
      </c>
      <c r="O136" s="2">
        <v>38839103.259999998</v>
      </c>
      <c r="P136" s="6">
        <f t="shared" si="2"/>
        <v>379673093.80000001</v>
      </c>
    </row>
    <row r="137" spans="1:17">
      <c r="A137">
        <v>2025</v>
      </c>
      <c r="B137" t="s">
        <v>40</v>
      </c>
      <c r="C137" s="3" t="str">
        <f>_xlfn.XLOOKUP(B137, 'Revenue Codes'!$A$2:$A$99, 'Revenue Codes'!$B$2:$B$99, "")</f>
        <v>Other Receipts</v>
      </c>
      <c r="D137" s="2">
        <v>11113339.439999999</v>
      </c>
      <c r="E137" s="2">
        <v>7284803.9000000004</v>
      </c>
      <c r="F137" s="2">
        <v>10875270.220000001</v>
      </c>
      <c r="G137" s="2">
        <v>7686752.8399999999</v>
      </c>
      <c r="H137" s="2">
        <v>9822665.3100000005</v>
      </c>
      <c r="I137" s="2">
        <v>8739142.3399999999</v>
      </c>
      <c r="J137" s="2">
        <v>14825618.52</v>
      </c>
      <c r="K137" s="2">
        <v>11331665.960000001</v>
      </c>
      <c r="L137" s="2">
        <v>11369997.949999999</v>
      </c>
      <c r="M137" s="2">
        <v>9590998</v>
      </c>
      <c r="N137" s="2">
        <v>12653293.369999999</v>
      </c>
      <c r="O137" s="2">
        <v>13262242.130000001</v>
      </c>
      <c r="P137" s="6">
        <f t="shared" si="2"/>
        <v>128555789.98</v>
      </c>
      <c r="Q137" s="2"/>
    </row>
    <row r="138" spans="1:17">
      <c r="A138">
        <v>2026</v>
      </c>
      <c r="B138" t="s">
        <v>17</v>
      </c>
      <c r="C138" s="3" t="str">
        <f>_xlfn.XLOOKUP(B138, 'Revenue Codes'!$A$2:$A$99, 'Revenue Codes'!$B$2:$B$99, "")</f>
        <v xml:space="preserve">Import Duty </v>
      </c>
      <c r="D138" s="69">
        <v>26336620936.139999</v>
      </c>
      <c r="E138" s="69">
        <v>25249024702.23</v>
      </c>
      <c r="F138" s="69">
        <v>25452984526.779999</v>
      </c>
      <c r="G138" s="69">
        <v>26476733761.889999</v>
      </c>
      <c r="H138" s="66">
        <v>25644687484.549999</v>
      </c>
      <c r="I138" s="50">
        <v>24552026877.049999</v>
      </c>
      <c r="J138" s="50">
        <v>30328209775.16</v>
      </c>
      <c r="K138" s="50">
        <v>16934418549.530001</v>
      </c>
      <c r="P138" s="6">
        <f t="shared" si="2"/>
        <v>200974706613.32999</v>
      </c>
    </row>
    <row r="139" spans="1:17">
      <c r="A139">
        <v>2026</v>
      </c>
      <c r="B139" t="s">
        <v>19</v>
      </c>
      <c r="C139" s="3" t="str">
        <f>_xlfn.XLOOKUP(B139, 'Revenue Codes'!$A$2:$A$99, 'Revenue Codes'!$B$2:$B$99, "")</f>
        <v xml:space="preserve">Export Duty </v>
      </c>
      <c r="D139" s="66">
        <v>62139190</v>
      </c>
      <c r="E139" s="69">
        <v>-61323917</v>
      </c>
      <c r="F139" s="69">
        <v>1301378</v>
      </c>
      <c r="G139" s="69">
        <v>601089</v>
      </c>
      <c r="H139" s="66">
        <v>490071</v>
      </c>
      <c r="I139" s="50">
        <v>127260</v>
      </c>
      <c r="J139" s="50">
        <v>783529</v>
      </c>
      <c r="K139" s="50">
        <v>193041</v>
      </c>
      <c r="P139" s="6">
        <f t="shared" si="2"/>
        <v>4311641</v>
      </c>
    </row>
    <row r="140" spans="1:17">
      <c r="A140">
        <v>2026</v>
      </c>
      <c r="B140" t="s">
        <v>53</v>
      </c>
      <c r="C140" s="3" t="str">
        <f>_xlfn.XLOOKUP(B140, 'Revenue Codes'!$A$2:$A$99, 'Revenue Codes'!$B$2:$B$99, "")</f>
        <v>IECD License Fee</v>
      </c>
      <c r="D140" s="84"/>
      <c r="E140" s="69">
        <v>141795221</v>
      </c>
      <c r="F140" s="69">
        <v>13101148</v>
      </c>
      <c r="G140" s="67"/>
      <c r="H140" s="84"/>
      <c r="I140" s="66">
        <v>3088877</v>
      </c>
      <c r="K140" s="84"/>
      <c r="P140" s="6">
        <f t="shared" si="2"/>
        <v>157985246</v>
      </c>
    </row>
    <row r="141" spans="1:17">
      <c r="A141">
        <v>2026</v>
      </c>
      <c r="B141" t="s">
        <v>20</v>
      </c>
      <c r="C141" s="3" t="str">
        <f>_xlfn.XLOOKUP(B141, 'Revenue Codes'!$A$2:$A$99, 'Revenue Codes'!$B$2:$B$99, "")</f>
        <v xml:space="preserve">PAL </v>
      </c>
      <c r="D141" s="69">
        <v>16806826969.690001</v>
      </c>
      <c r="E141" s="69">
        <v>14738540855.049999</v>
      </c>
      <c r="F141" s="69">
        <v>16255849516.76</v>
      </c>
      <c r="G141" s="69">
        <v>15317893020.700001</v>
      </c>
      <c r="H141" s="66">
        <v>15815448436.530001</v>
      </c>
      <c r="I141" s="50">
        <v>15520187356.09</v>
      </c>
      <c r="J141" s="50">
        <v>19009955098.02</v>
      </c>
      <c r="K141" s="50">
        <v>17341056333.619999</v>
      </c>
      <c r="P141" s="6">
        <f t="shared" si="2"/>
        <v>130805757586.45999</v>
      </c>
    </row>
    <row r="142" spans="1:17">
      <c r="A142">
        <v>2026</v>
      </c>
      <c r="B142" t="s">
        <v>21</v>
      </c>
      <c r="C142" s="3" t="str">
        <f>_xlfn.XLOOKUP(B142, 'Revenue Codes'!$A$2:$A$99, 'Revenue Codes'!$B$2:$B$99, "")</f>
        <v xml:space="preserve">Cess (Import) </v>
      </c>
      <c r="D142" s="69">
        <v>7705156021.1800003</v>
      </c>
      <c r="E142" s="69">
        <v>8497779644.1999998</v>
      </c>
      <c r="F142" s="69">
        <v>8944578651</v>
      </c>
      <c r="G142" s="69">
        <v>5381217865</v>
      </c>
      <c r="H142" s="66">
        <v>4973658844.0299997</v>
      </c>
      <c r="I142" s="50">
        <v>5377987852.3699999</v>
      </c>
      <c r="J142" s="50">
        <v>6638890010.2399998</v>
      </c>
      <c r="K142" s="50">
        <v>5673800940.6999998</v>
      </c>
      <c r="P142" s="6">
        <f t="shared" si="2"/>
        <v>53193069828.720001</v>
      </c>
    </row>
    <row r="143" spans="1:17">
      <c r="A143">
        <v>2026</v>
      </c>
      <c r="B143" t="s">
        <v>22</v>
      </c>
      <c r="C143" s="3" t="str">
        <f>_xlfn.XLOOKUP(B143, 'Revenue Codes'!$A$2:$A$99, 'Revenue Codes'!$B$2:$B$99, "")</f>
        <v>Cess (Export)</v>
      </c>
      <c r="D143" s="69">
        <v>119314634</v>
      </c>
      <c r="E143" s="69">
        <v>225407313</v>
      </c>
      <c r="F143" s="69">
        <v>171889844</v>
      </c>
      <c r="G143" s="69">
        <v>156307155</v>
      </c>
      <c r="H143" s="66">
        <v>173198833</v>
      </c>
      <c r="I143" s="50">
        <v>163012633</v>
      </c>
      <c r="J143" s="50">
        <v>130808793</v>
      </c>
      <c r="K143" s="50">
        <v>121191089</v>
      </c>
      <c r="P143" s="6">
        <f t="shared" si="2"/>
        <v>1261130294</v>
      </c>
    </row>
    <row r="144" spans="1:17" ht="30.75">
      <c r="A144">
        <v>2026</v>
      </c>
      <c r="B144" t="s">
        <v>23</v>
      </c>
      <c r="C144" s="3" t="str">
        <f>_xlfn.XLOOKUP(B144, 'Revenue Codes'!$A$2:$A$99, 'Revenue Codes'!$B$2:$B$99, "")</f>
        <v>Motor Vehicle (Conc.) Levy</v>
      </c>
      <c r="D144" s="69">
        <v>11934667</v>
      </c>
      <c r="E144" s="67" t="s">
        <v>54</v>
      </c>
      <c r="F144" s="66">
        <v>5613</v>
      </c>
      <c r="G144" s="66"/>
      <c r="H144" s="84"/>
      <c r="I144" s="84"/>
      <c r="K144" s="84"/>
      <c r="P144" s="6">
        <f t="shared" si="2"/>
        <v>11940280</v>
      </c>
    </row>
    <row r="145" spans="1:16">
      <c r="A145">
        <v>2026</v>
      </c>
      <c r="B145" t="s">
        <v>24</v>
      </c>
      <c r="C145" s="3" t="str">
        <f>_xlfn.XLOOKUP(B145, 'Revenue Codes'!$A$2:$A$99, 'Revenue Codes'!$B$2:$B$99, "")</f>
        <v>SCL</v>
      </c>
      <c r="D145" s="69">
        <v>11152616533</v>
      </c>
      <c r="E145" s="69">
        <v>10150924838</v>
      </c>
      <c r="F145" s="69">
        <v>16087407537</v>
      </c>
      <c r="G145" s="66">
        <v>17851580603</v>
      </c>
      <c r="H145" s="66">
        <v>16867677704</v>
      </c>
      <c r="I145" s="50">
        <v>11052876963</v>
      </c>
      <c r="J145" s="50">
        <v>12372094400</v>
      </c>
      <c r="K145" s="50">
        <v>9424190124</v>
      </c>
      <c r="P145" s="6">
        <f t="shared" si="2"/>
        <v>104959368702</v>
      </c>
    </row>
    <row r="146" spans="1:16">
      <c r="A146">
        <v>2026</v>
      </c>
      <c r="B146" t="s">
        <v>28</v>
      </c>
      <c r="C146" s="3" t="str">
        <f>_xlfn.XLOOKUP(B146, 'Revenue Codes'!$A$2:$A$99, 'Revenue Codes'!$B$2:$B$99, "")</f>
        <v>Cigarette</v>
      </c>
      <c r="D146" s="69">
        <v>11774202500</v>
      </c>
      <c r="E146" s="69">
        <v>9531544670</v>
      </c>
      <c r="F146" s="69">
        <v>7188465300</v>
      </c>
      <c r="G146" s="69">
        <v>10180893300</v>
      </c>
      <c r="H146" s="66">
        <v>8215080400</v>
      </c>
      <c r="I146" s="50">
        <v>9851928700</v>
      </c>
      <c r="J146" s="50">
        <v>9349726350</v>
      </c>
      <c r="K146" s="50">
        <v>9590046714</v>
      </c>
      <c r="P146" s="6">
        <f t="shared" si="2"/>
        <v>75681887934</v>
      </c>
    </row>
    <row r="147" spans="1:16">
      <c r="A147">
        <v>2026</v>
      </c>
      <c r="B147" t="s">
        <v>29</v>
      </c>
      <c r="C147" s="3" t="str">
        <f>_xlfn.XLOOKUP(B147, 'Revenue Codes'!$A$2:$A$99, 'Revenue Codes'!$B$2:$B$99, "")</f>
        <v>Liquor</v>
      </c>
      <c r="D147" s="69" t="s">
        <v>54</v>
      </c>
      <c r="E147" s="66">
        <v>1410</v>
      </c>
      <c r="F147" s="66">
        <v>1175334</v>
      </c>
      <c r="G147" s="66">
        <v>-1175334</v>
      </c>
      <c r="H147" s="84"/>
      <c r="I147" s="84"/>
      <c r="K147" s="67"/>
      <c r="P147" s="6">
        <f t="shared" si="2"/>
        <v>1410</v>
      </c>
    </row>
    <row r="148" spans="1:16">
      <c r="A148">
        <v>2026</v>
      </c>
      <c r="B148" t="s">
        <v>30</v>
      </c>
      <c r="C148" s="3" t="str">
        <f>_xlfn.XLOOKUP(B148, 'Revenue Codes'!$A$2:$A$99, 'Revenue Codes'!$B$2:$B$99, "")</f>
        <v>Petroleum Products</v>
      </c>
      <c r="D148" s="66">
        <v>19746667160.560001</v>
      </c>
      <c r="E148" s="69">
        <v>11909743549.790001</v>
      </c>
      <c r="F148" s="69">
        <v>15057181798.52</v>
      </c>
      <c r="G148" s="69">
        <v>17921054763.93</v>
      </c>
      <c r="H148" s="66">
        <v>11101035554.74</v>
      </c>
      <c r="I148" s="50">
        <v>19961435039.009998</v>
      </c>
      <c r="J148" s="50">
        <v>16841891415.43</v>
      </c>
      <c r="K148" s="50">
        <v>19515424233.369999</v>
      </c>
      <c r="P148" s="6">
        <f t="shared" si="2"/>
        <v>132054433515.35001</v>
      </c>
    </row>
    <row r="149" spans="1:16">
      <c r="A149">
        <v>2026</v>
      </c>
      <c r="B149" t="s">
        <v>31</v>
      </c>
      <c r="C149" s="3" t="str">
        <f>_xlfn.XLOOKUP(B149, 'Revenue Codes'!$A$2:$A$99, 'Revenue Codes'!$B$2:$B$99, "")</f>
        <v>Motor Vehicles</v>
      </c>
      <c r="D149" s="69">
        <v>44807256004</v>
      </c>
      <c r="E149" s="69">
        <v>46390766385</v>
      </c>
      <c r="F149" s="69">
        <v>48550779418</v>
      </c>
      <c r="G149" s="69">
        <v>47310404437</v>
      </c>
      <c r="H149" s="66">
        <v>41344290829</v>
      </c>
      <c r="I149" s="50">
        <v>37956797936</v>
      </c>
      <c r="J149" s="50">
        <v>42691175182.5</v>
      </c>
      <c r="K149" s="50">
        <v>37980236691</v>
      </c>
      <c r="P149" s="6">
        <f t="shared" si="2"/>
        <v>347031706882.5</v>
      </c>
    </row>
    <row r="150" spans="1:16">
      <c r="A150">
        <v>2026</v>
      </c>
      <c r="B150" t="s">
        <v>32</v>
      </c>
      <c r="C150" s="3" t="str">
        <f>_xlfn.XLOOKUP(B150, 'Revenue Codes'!$A$2:$A$99, 'Revenue Codes'!$B$2:$B$99, "")</f>
        <v>Excise (Other)</v>
      </c>
      <c r="D150" s="69">
        <v>1308301441.9300001</v>
      </c>
      <c r="E150" s="69">
        <v>558384357.85000002</v>
      </c>
      <c r="F150" s="69">
        <v>901034160</v>
      </c>
      <c r="G150" s="69">
        <v>1286593932.48</v>
      </c>
      <c r="H150" s="66">
        <v>581033973.35000002</v>
      </c>
      <c r="I150" s="50">
        <v>750438107</v>
      </c>
      <c r="J150" s="50">
        <v>1556742474.3900001</v>
      </c>
      <c r="K150" s="50">
        <v>783328867.11000001</v>
      </c>
      <c r="P150" s="6">
        <f t="shared" si="2"/>
        <v>7725857314.1100006</v>
      </c>
    </row>
    <row r="151" spans="1:16">
      <c r="A151">
        <v>2026</v>
      </c>
      <c r="B151" t="s">
        <v>35</v>
      </c>
      <c r="C151" s="3" t="str">
        <f>_xlfn.XLOOKUP(B151, 'Revenue Codes'!$A$2:$A$99, 'Revenue Codes'!$B$2:$B$99, "")</f>
        <v>VEL</v>
      </c>
      <c r="D151" s="69">
        <v>244145000</v>
      </c>
      <c r="E151" s="69">
        <v>246752419</v>
      </c>
      <c r="F151" s="69">
        <v>265639700</v>
      </c>
      <c r="G151" s="69">
        <v>269242000</v>
      </c>
      <c r="H151" s="66">
        <v>270040300</v>
      </c>
      <c r="I151" s="50">
        <v>240526000</v>
      </c>
      <c r="J151" s="50">
        <v>273725900</v>
      </c>
      <c r="K151" s="50">
        <v>230100000</v>
      </c>
      <c r="P151" s="6">
        <f t="shared" si="2"/>
        <v>2040171319</v>
      </c>
    </row>
    <row r="152" spans="1:16">
      <c r="A152">
        <v>2026</v>
      </c>
      <c r="B152" t="s">
        <v>37</v>
      </c>
      <c r="C152" s="3" t="str">
        <f>_xlfn.XLOOKUP(B152, 'Revenue Codes'!$A$2:$A$99, 'Revenue Codes'!$B$2:$B$99, "")</f>
        <v>Sales of Garment</v>
      </c>
      <c r="D152" s="69">
        <v>6222925</v>
      </c>
      <c r="E152" s="69">
        <v>6733675</v>
      </c>
      <c r="F152" s="69">
        <v>9331730</v>
      </c>
      <c r="G152" s="69">
        <v>8379150</v>
      </c>
      <c r="H152" s="66">
        <v>13815613</v>
      </c>
      <c r="I152" s="50">
        <v>7863907</v>
      </c>
      <c r="J152" s="50">
        <v>6260125</v>
      </c>
      <c r="K152" s="50">
        <v>6534335</v>
      </c>
      <c r="P152" s="6">
        <f t="shared" si="2"/>
        <v>65141460</v>
      </c>
    </row>
    <row r="153" spans="1:16">
      <c r="A153">
        <v>2026</v>
      </c>
      <c r="B153" t="s">
        <v>38</v>
      </c>
      <c r="C153" s="3" t="str">
        <f>_xlfn.XLOOKUP(B153, 'Revenue Codes'!$A$2:$A$99, 'Revenue Codes'!$B$2:$B$99, "")</f>
        <v>Fine &amp; Forfeits</v>
      </c>
      <c r="D153" s="69">
        <v>361436498.49000001</v>
      </c>
      <c r="E153" s="69">
        <v>498764354.93000001</v>
      </c>
      <c r="F153" s="69">
        <v>283282911.24000001</v>
      </c>
      <c r="G153" s="69">
        <v>673689374.55999994</v>
      </c>
      <c r="H153" s="66">
        <v>452895307.85000002</v>
      </c>
      <c r="I153" s="50">
        <v>601798289.57000005</v>
      </c>
      <c r="J153" s="50">
        <v>647146776.35000002</v>
      </c>
      <c r="K153" s="50">
        <v>372701336.89999998</v>
      </c>
      <c r="P153" s="6">
        <f>SUM(D153:O153)</f>
        <v>3891714849.8900003</v>
      </c>
    </row>
    <row r="154" spans="1:16">
      <c r="A154">
        <v>2026</v>
      </c>
      <c r="B154" t="s">
        <v>25</v>
      </c>
      <c r="C154" s="3" t="str">
        <f>_xlfn.XLOOKUP(B154, 'Revenue Codes'!$A$2:$A$99, 'Revenue Codes'!$B$2:$B$99, "")</f>
        <v>LXT</v>
      </c>
      <c r="D154" s="69">
        <v>4388161050</v>
      </c>
      <c r="E154" s="69">
        <v>3132567379</v>
      </c>
      <c r="F154" s="69">
        <v>3467453757</v>
      </c>
      <c r="G154" s="69">
        <v>3843394508</v>
      </c>
      <c r="H154" s="50">
        <v>3878116551</v>
      </c>
      <c r="I154" s="66">
        <v>3180964566</v>
      </c>
      <c r="J154" s="66">
        <v>4394226392</v>
      </c>
      <c r="K154" s="66">
        <v>3117237184</v>
      </c>
      <c r="P154" s="6">
        <f t="shared" si="2"/>
        <v>29402121387</v>
      </c>
    </row>
    <row r="155" spans="1:16">
      <c r="A155">
        <v>2026</v>
      </c>
      <c r="B155" t="s">
        <v>26</v>
      </c>
      <c r="C155" s="3" t="str">
        <f>_xlfn.XLOOKUP(B155, 'Revenue Codes'!$A$2:$A$99, 'Revenue Codes'!$B$2:$B$99, "")</f>
        <v>VAT</v>
      </c>
      <c r="D155" s="69">
        <v>83144093086.320007</v>
      </c>
      <c r="E155" s="69">
        <v>77658004192.860001</v>
      </c>
      <c r="F155" s="69">
        <v>82311899441.25</v>
      </c>
      <c r="G155" s="69">
        <v>89794757841.300003</v>
      </c>
      <c r="H155" s="50">
        <v>83509452540.149994</v>
      </c>
      <c r="I155" s="66">
        <v>91469354003.25</v>
      </c>
      <c r="J155" s="66">
        <v>98142592367.960007</v>
      </c>
      <c r="K155" s="66">
        <v>90935167054.130005</v>
      </c>
      <c r="P155" s="6">
        <f t="shared" si="2"/>
        <v>696965320527.21997</v>
      </c>
    </row>
    <row r="156" spans="1:16">
      <c r="A156">
        <v>2026</v>
      </c>
      <c r="B156" t="s">
        <v>33</v>
      </c>
      <c r="C156" s="3" t="str">
        <f>_xlfn.XLOOKUP(B156, 'Revenue Codes'!$A$2:$A$99, 'Revenue Codes'!$B$2:$B$99, "")</f>
        <v>NBT</v>
      </c>
      <c r="D156" s="69">
        <v>671552</v>
      </c>
      <c r="E156" s="66">
        <v>67773</v>
      </c>
      <c r="F156" s="66">
        <v>52110</v>
      </c>
      <c r="G156" s="67" t="s">
        <v>54</v>
      </c>
      <c r="H156" s="61" t="s">
        <v>55</v>
      </c>
      <c r="I156" s="66">
        <v>979192</v>
      </c>
      <c r="J156" s="66">
        <v>67711</v>
      </c>
      <c r="K156" s="67" t="s">
        <v>56</v>
      </c>
      <c r="P156" s="6">
        <f t="shared" si="2"/>
        <v>1838338</v>
      </c>
    </row>
    <row r="157" spans="1:16">
      <c r="A157">
        <v>2026</v>
      </c>
      <c r="B157" t="s">
        <v>45</v>
      </c>
      <c r="C157" s="3" t="str">
        <f>_xlfn.XLOOKUP(B157, 'Revenue Codes'!$A$2:$A$99, 'Revenue Codes'!$B$2:$B$99, "")</f>
        <v>SSL</v>
      </c>
      <c r="D157" s="69">
        <v>7267539605</v>
      </c>
      <c r="E157" s="69">
        <v>6683400068</v>
      </c>
      <c r="F157" s="69">
        <f>20894834441-13950939673</f>
        <v>6943894768</v>
      </c>
      <c r="G157" s="69">
        <v>6468723390</v>
      </c>
      <c r="H157" s="50">
        <v>9871639030</v>
      </c>
      <c r="I157" s="66">
        <v>9810609116</v>
      </c>
      <c r="J157" s="66">
        <v>11457727350</v>
      </c>
      <c r="K157" s="66">
        <v>13466314880.73</v>
      </c>
      <c r="P157" s="6">
        <f t="shared" si="2"/>
        <v>71969848207.729996</v>
      </c>
    </row>
    <row r="158" spans="1:16">
      <c r="A158">
        <v>2026</v>
      </c>
      <c r="B158" t="s">
        <v>36</v>
      </c>
      <c r="C158" s="3" t="str">
        <f>_xlfn.XLOOKUP(B158, 'Revenue Codes'!$A$2:$A$99, 'Revenue Codes'!$B$2:$B$99, "")</f>
        <v>ESC</v>
      </c>
      <c r="D158" s="67" t="s">
        <v>54</v>
      </c>
      <c r="E158" s="67" t="s">
        <v>54</v>
      </c>
      <c r="F158" s="67" t="s">
        <v>54</v>
      </c>
      <c r="G158" s="67"/>
      <c r="H158" s="50">
        <v>1944</v>
      </c>
      <c r="I158" s="84"/>
      <c r="J158" s="67" t="s">
        <v>57</v>
      </c>
      <c r="K158" s="67"/>
      <c r="P158" s="6">
        <f t="shared" si="2"/>
        <v>1944</v>
      </c>
    </row>
    <row r="159" spans="1:16">
      <c r="A159">
        <v>2026</v>
      </c>
      <c r="B159" t="s">
        <v>39</v>
      </c>
      <c r="C159" s="3" t="str">
        <f>_xlfn.XLOOKUP(B159, 'Revenue Codes'!$A$2:$A$99, 'Revenue Codes'!$B$2:$B$99, "")</f>
        <v>Sundris &amp; Others</v>
      </c>
      <c r="D159" s="69">
        <v>31063459.84</v>
      </c>
      <c r="E159" s="69">
        <v>28648397.870000001</v>
      </c>
      <c r="F159" s="69">
        <v>34643639.299999997</v>
      </c>
      <c r="G159" s="69">
        <v>31778510.25</v>
      </c>
      <c r="H159" s="50">
        <v>27401092.690000001</v>
      </c>
      <c r="I159" s="66">
        <v>31030029.489999998</v>
      </c>
      <c r="J159" s="66">
        <v>136289493.88</v>
      </c>
      <c r="K159" s="66">
        <v>116378441.06999999</v>
      </c>
      <c r="P159" s="6">
        <f t="shared" si="2"/>
        <v>437233064.38999999</v>
      </c>
    </row>
    <row r="160" spans="1:16">
      <c r="A160">
        <v>2026</v>
      </c>
      <c r="B160" t="s">
        <v>40</v>
      </c>
      <c r="C160" s="3" t="str">
        <f>_xlfn.XLOOKUP(B160, 'Revenue Codes'!$A$2:$A$99, 'Revenue Codes'!$B$2:$B$99, "")</f>
        <v>Other Receipts</v>
      </c>
      <c r="D160" s="69">
        <v>8715449.0600000005</v>
      </c>
      <c r="E160" s="69">
        <v>7749185.8600000003</v>
      </c>
      <c r="F160" s="69">
        <v>5390438</v>
      </c>
      <c r="G160" s="69">
        <v>4667373.17</v>
      </c>
      <c r="H160" s="50">
        <v>4076781.64</v>
      </c>
      <c r="I160" s="66">
        <v>4640680.17</v>
      </c>
      <c r="J160" s="66">
        <v>8458410.1300000008</v>
      </c>
      <c r="K160" s="66">
        <v>6166093.9800000004</v>
      </c>
      <c r="P160" s="6">
        <f t="shared" si="2"/>
        <v>49864412.010000005</v>
      </c>
    </row>
    <row r="161" spans="3:16">
      <c r="C161" s="3"/>
      <c r="P161" s="6">
        <f t="shared" si="2"/>
        <v>0</v>
      </c>
    </row>
    <row r="162" spans="3:16">
      <c r="C162" s="3"/>
      <c r="P162" s="6">
        <f t="shared" si="2"/>
        <v>0</v>
      </c>
    </row>
    <row r="163" spans="3:16">
      <c r="C163" s="3">
        <f>_xlfn.XLOOKUP(B163, 'Revenue Codes'!$A$2:$A$99, 'Revenue Codes'!$B$2:$B$99, "")</f>
        <v>0</v>
      </c>
      <c r="P163" s="6">
        <f t="shared" si="2"/>
        <v>0</v>
      </c>
    </row>
    <row r="164" spans="3:16">
      <c r="C164" s="3">
        <f>_xlfn.XLOOKUP(B164, 'Revenue Codes'!$A$2:$A$99, 'Revenue Codes'!$B$2:$B$99, "")</f>
        <v>0</v>
      </c>
      <c r="P164" s="6">
        <f t="shared" si="2"/>
        <v>0</v>
      </c>
    </row>
    <row r="165" spans="3:16">
      <c r="C165" s="3">
        <f>_xlfn.XLOOKUP(B165, 'Revenue Codes'!$A$2:$A$99, 'Revenue Codes'!$B$2:$B$99, "")</f>
        <v>0</v>
      </c>
      <c r="P165" s="6">
        <f t="shared" si="2"/>
        <v>0</v>
      </c>
    </row>
    <row r="166" spans="3:16">
      <c r="C166" s="3">
        <f>_xlfn.XLOOKUP(B166, 'Revenue Codes'!$A$2:$A$99, 'Revenue Codes'!$B$2:$B$99, "")</f>
        <v>0</v>
      </c>
      <c r="P166" s="6">
        <f t="shared" si="2"/>
        <v>0</v>
      </c>
    </row>
    <row r="167" spans="3:16">
      <c r="C167" s="3">
        <f>_xlfn.XLOOKUP(B167, 'Revenue Codes'!$A$2:$A$99, 'Revenue Codes'!$B$2:$B$99, "")</f>
        <v>0</v>
      </c>
      <c r="P167" s="6">
        <f t="shared" si="2"/>
        <v>0</v>
      </c>
    </row>
    <row r="168" spans="3:16">
      <c r="C168" s="3">
        <f>_xlfn.XLOOKUP(B168, 'Revenue Codes'!$A$2:$A$99, 'Revenue Codes'!$B$2:$B$99, "")</f>
        <v>0</v>
      </c>
      <c r="P168" s="6">
        <f t="shared" si="2"/>
        <v>0</v>
      </c>
    </row>
    <row r="169" spans="3:16">
      <c r="C169" s="3">
        <f>_xlfn.XLOOKUP(B169, 'Revenue Codes'!$A$2:$A$99, 'Revenue Codes'!$B$2:$B$99, "")</f>
        <v>0</v>
      </c>
      <c r="P169" s="6">
        <f t="shared" si="2"/>
        <v>0</v>
      </c>
    </row>
    <row r="170" spans="3:16">
      <c r="C170" s="3">
        <f>_xlfn.XLOOKUP(B170, 'Revenue Codes'!$A$2:$A$99, 'Revenue Codes'!$B$2:$B$99, "")</f>
        <v>0</v>
      </c>
      <c r="P170" s="6">
        <f t="shared" si="2"/>
        <v>0</v>
      </c>
    </row>
    <row r="171" spans="3:16">
      <c r="C171" s="3">
        <f>_xlfn.XLOOKUP(B171, 'Revenue Codes'!$A$2:$A$99, 'Revenue Codes'!$B$2:$B$99, "")</f>
        <v>0</v>
      </c>
      <c r="P171" s="6">
        <f t="shared" si="2"/>
        <v>0</v>
      </c>
    </row>
    <row r="172" spans="3:16">
      <c r="C172" s="3">
        <f>_xlfn.XLOOKUP(B172, 'Revenue Codes'!$A$2:$A$99, 'Revenue Codes'!$B$2:$B$99, "")</f>
        <v>0</v>
      </c>
      <c r="P172" s="6">
        <f t="shared" si="2"/>
        <v>0</v>
      </c>
    </row>
    <row r="173" spans="3:16">
      <c r="C173" s="3">
        <f>_xlfn.XLOOKUP(B173, 'Revenue Codes'!$A$2:$A$99, 'Revenue Codes'!$B$2:$B$99, "")</f>
        <v>0</v>
      </c>
      <c r="P173" s="6">
        <f t="shared" si="2"/>
        <v>0</v>
      </c>
    </row>
    <row r="174" spans="3:16">
      <c r="C174" s="3">
        <f>_xlfn.XLOOKUP(B174, 'Revenue Codes'!$A$2:$A$99, 'Revenue Codes'!$B$2:$B$99, "")</f>
        <v>0</v>
      </c>
      <c r="P174" s="6">
        <f t="shared" si="2"/>
        <v>0</v>
      </c>
    </row>
    <row r="175" spans="3:16">
      <c r="C175" s="3">
        <f>_xlfn.XLOOKUP(B175, 'Revenue Codes'!$A$2:$A$99, 'Revenue Codes'!$B$2:$B$99, "")</f>
        <v>0</v>
      </c>
      <c r="P175" s="6">
        <f t="shared" si="2"/>
        <v>0</v>
      </c>
    </row>
    <row r="176" spans="3:16">
      <c r="C176" s="3">
        <f>_xlfn.XLOOKUP(B176, 'Revenue Codes'!$A$2:$A$99, 'Revenue Codes'!$B$2:$B$99, "")</f>
        <v>0</v>
      </c>
      <c r="P176" s="6">
        <f t="shared" si="2"/>
        <v>0</v>
      </c>
    </row>
    <row r="177" spans="3:16">
      <c r="C177" s="3">
        <f>_xlfn.XLOOKUP(B177, 'Revenue Codes'!$A$2:$A$99, 'Revenue Codes'!$B$2:$B$99, "")</f>
        <v>0</v>
      </c>
      <c r="P177" s="6">
        <f t="shared" si="2"/>
        <v>0</v>
      </c>
    </row>
    <row r="178" spans="3:16">
      <c r="C178" s="3">
        <f>_xlfn.XLOOKUP(B178, 'Revenue Codes'!$A$2:$A$99, 'Revenue Codes'!$B$2:$B$99, "")</f>
        <v>0</v>
      </c>
      <c r="P178" s="6">
        <f t="shared" si="2"/>
        <v>0</v>
      </c>
    </row>
    <row r="179" spans="3:16">
      <c r="C179" s="3">
        <f>_xlfn.XLOOKUP(B179, 'Revenue Codes'!$A$2:$A$99, 'Revenue Codes'!$B$2:$B$99, "")</f>
        <v>0</v>
      </c>
      <c r="P179" s="6">
        <f t="shared" si="2"/>
        <v>0</v>
      </c>
    </row>
    <row r="180" spans="3:16">
      <c r="C180" s="3">
        <f>_xlfn.XLOOKUP(B180, 'Revenue Codes'!$A$2:$A$99, 'Revenue Codes'!$B$2:$B$99, "")</f>
        <v>0</v>
      </c>
      <c r="P180" s="6">
        <f t="shared" si="2"/>
        <v>0</v>
      </c>
    </row>
    <row r="181" spans="3:16">
      <c r="C181" s="3">
        <f>_xlfn.XLOOKUP(B181, 'Revenue Codes'!$A$2:$A$99, 'Revenue Codes'!$B$2:$B$99, "")</f>
        <v>0</v>
      </c>
      <c r="P181" s="6">
        <f t="shared" si="2"/>
        <v>0</v>
      </c>
    </row>
    <row r="182" spans="3:16">
      <c r="C182" s="3">
        <f>_xlfn.XLOOKUP(B182, 'Revenue Codes'!$A$2:$A$99, 'Revenue Codes'!$B$2:$B$99, "")</f>
        <v>0</v>
      </c>
      <c r="P182" s="6">
        <f t="shared" si="2"/>
        <v>0</v>
      </c>
    </row>
    <row r="183" spans="3:16">
      <c r="C183" s="3">
        <f>_xlfn.XLOOKUP(B183, 'Revenue Codes'!$A$2:$A$99, 'Revenue Codes'!$B$2:$B$99, "")</f>
        <v>0</v>
      </c>
      <c r="P183" s="6">
        <f t="shared" si="2"/>
        <v>0</v>
      </c>
    </row>
    <row r="184" spans="3:16">
      <c r="C184" s="3">
        <f>_xlfn.XLOOKUP(B184, 'Revenue Codes'!$A$2:$A$99, 'Revenue Codes'!$B$2:$B$99, "")</f>
        <v>0</v>
      </c>
      <c r="P184" s="6">
        <f t="shared" si="2"/>
        <v>0</v>
      </c>
    </row>
    <row r="185" spans="3:16">
      <c r="C185" s="3">
        <f>_xlfn.XLOOKUP(B185, 'Revenue Codes'!$A$2:$A$99, 'Revenue Codes'!$B$2:$B$99, "")</f>
        <v>0</v>
      </c>
      <c r="P185" s="6">
        <f t="shared" si="2"/>
        <v>0</v>
      </c>
    </row>
    <row r="186" spans="3:16">
      <c r="C186" s="3">
        <f>_xlfn.XLOOKUP(B186, 'Revenue Codes'!$A$2:$A$99, 'Revenue Codes'!$B$2:$B$99, "")</f>
        <v>0</v>
      </c>
      <c r="P186" s="6">
        <f t="shared" si="2"/>
        <v>0</v>
      </c>
    </row>
    <row r="187" spans="3:16">
      <c r="C187" s="3">
        <f>_xlfn.XLOOKUP(B187, 'Revenue Codes'!$A$2:$A$99, 'Revenue Codes'!$B$2:$B$99, "")</f>
        <v>0</v>
      </c>
      <c r="P187" s="6">
        <f t="shared" si="2"/>
        <v>0</v>
      </c>
    </row>
    <row r="188" spans="3:16">
      <c r="C188" s="3">
        <f>_xlfn.XLOOKUP(B188, 'Revenue Codes'!$A$2:$A$99, 'Revenue Codes'!$B$2:$B$99, "")</f>
        <v>0</v>
      </c>
      <c r="P188" s="6">
        <f t="shared" si="2"/>
        <v>0</v>
      </c>
    </row>
    <row r="189" spans="3:16">
      <c r="C189" s="3">
        <f>_xlfn.XLOOKUP(B189, 'Revenue Codes'!$A$2:$A$99, 'Revenue Codes'!$B$2:$B$99, "")</f>
        <v>0</v>
      </c>
      <c r="P189" s="6">
        <f t="shared" si="2"/>
        <v>0</v>
      </c>
    </row>
    <row r="190" spans="3:16">
      <c r="C190" s="3">
        <f>_xlfn.XLOOKUP(B190, 'Revenue Codes'!$A$2:$A$99, 'Revenue Codes'!$B$2:$B$99, "")</f>
        <v>0</v>
      </c>
      <c r="P190" s="6">
        <f t="shared" si="2"/>
        <v>0</v>
      </c>
    </row>
    <row r="191" spans="3:16">
      <c r="C191" s="3">
        <f>_xlfn.XLOOKUP(B191, 'Revenue Codes'!$A$2:$A$99, 'Revenue Codes'!$B$2:$B$99, "")</f>
        <v>0</v>
      </c>
      <c r="P191" s="6">
        <f t="shared" si="2"/>
        <v>0</v>
      </c>
    </row>
    <row r="192" spans="3:16">
      <c r="C192" s="3">
        <f>_xlfn.XLOOKUP(B192, 'Revenue Codes'!$A$2:$A$99, 'Revenue Codes'!$B$2:$B$99, "")</f>
        <v>0</v>
      </c>
      <c r="P192" s="6">
        <f t="shared" si="2"/>
        <v>0</v>
      </c>
    </row>
    <row r="193" spans="3:16">
      <c r="C193" s="3">
        <f>_xlfn.XLOOKUP(B193, 'Revenue Codes'!$A$2:$A$99, 'Revenue Codes'!$B$2:$B$99, "")</f>
        <v>0</v>
      </c>
      <c r="P193" s="6">
        <f t="shared" si="2"/>
        <v>0</v>
      </c>
    </row>
    <row r="194" spans="3:16">
      <c r="C194" s="3">
        <f>_xlfn.XLOOKUP(B194, 'Revenue Codes'!$A$2:$A$99, 'Revenue Codes'!$B$2:$B$99, "")</f>
        <v>0</v>
      </c>
      <c r="P194" s="6">
        <f t="shared" ref="P194:P257" si="3">SUM(D194:O194)</f>
        <v>0</v>
      </c>
    </row>
    <row r="195" spans="3:16">
      <c r="C195" s="3">
        <f>_xlfn.XLOOKUP(B195, 'Revenue Codes'!$A$2:$A$99, 'Revenue Codes'!$B$2:$B$99, "")</f>
        <v>0</v>
      </c>
      <c r="P195" s="6">
        <f t="shared" si="3"/>
        <v>0</v>
      </c>
    </row>
    <row r="196" spans="3:16">
      <c r="C196" s="3">
        <f>_xlfn.XLOOKUP(B196, 'Revenue Codes'!$A$2:$A$99, 'Revenue Codes'!$B$2:$B$99, "")</f>
        <v>0</v>
      </c>
      <c r="P196" s="6">
        <f t="shared" si="3"/>
        <v>0</v>
      </c>
    </row>
    <row r="197" spans="3:16">
      <c r="C197" s="3">
        <f>_xlfn.XLOOKUP(B197, 'Revenue Codes'!$A$2:$A$99, 'Revenue Codes'!$B$2:$B$99, "")</f>
        <v>0</v>
      </c>
      <c r="P197" s="6">
        <f t="shared" si="3"/>
        <v>0</v>
      </c>
    </row>
    <row r="198" spans="3:16">
      <c r="C198" s="3">
        <f>_xlfn.XLOOKUP(B198, 'Revenue Codes'!$A$2:$A$99, 'Revenue Codes'!$B$2:$B$99, "")</f>
        <v>0</v>
      </c>
      <c r="P198" s="6">
        <f t="shared" si="3"/>
        <v>0</v>
      </c>
    </row>
    <row r="199" spans="3:16">
      <c r="C199" s="3">
        <f>_xlfn.XLOOKUP(B199, 'Revenue Codes'!$A$2:$A$99, 'Revenue Codes'!$B$2:$B$99, "")</f>
        <v>0</v>
      </c>
      <c r="P199" s="6">
        <f t="shared" si="3"/>
        <v>0</v>
      </c>
    </row>
    <row r="200" spans="3:16">
      <c r="C200" s="3">
        <f>_xlfn.XLOOKUP(B200, 'Revenue Codes'!$A$2:$A$99, 'Revenue Codes'!$B$2:$B$99, "")</f>
        <v>0</v>
      </c>
      <c r="P200" s="6">
        <f t="shared" si="3"/>
        <v>0</v>
      </c>
    </row>
    <row r="201" spans="3:16">
      <c r="C201" s="3">
        <f>_xlfn.XLOOKUP(B201, 'Revenue Codes'!$A$2:$A$99, 'Revenue Codes'!$B$2:$B$99, "")</f>
        <v>0</v>
      </c>
      <c r="P201" s="6">
        <f t="shared" si="3"/>
        <v>0</v>
      </c>
    </row>
    <row r="202" spans="3:16">
      <c r="C202" s="3">
        <f>_xlfn.XLOOKUP(B202, 'Revenue Codes'!$A$2:$A$99, 'Revenue Codes'!$B$2:$B$99, "")</f>
        <v>0</v>
      </c>
      <c r="P202" s="6">
        <f t="shared" si="3"/>
        <v>0</v>
      </c>
    </row>
    <row r="203" spans="3:16">
      <c r="C203" s="3">
        <f>_xlfn.XLOOKUP(B203, 'Revenue Codes'!$A$2:$A$99, 'Revenue Codes'!$B$2:$B$99, "")</f>
        <v>0</v>
      </c>
      <c r="P203" s="6">
        <f t="shared" si="3"/>
        <v>0</v>
      </c>
    </row>
    <row r="204" spans="3:16">
      <c r="C204" s="3">
        <f>_xlfn.XLOOKUP(B204, 'Revenue Codes'!$A$2:$A$99, 'Revenue Codes'!$B$2:$B$99, "")</f>
        <v>0</v>
      </c>
      <c r="P204" s="6">
        <f t="shared" si="3"/>
        <v>0</v>
      </c>
    </row>
    <row r="205" spans="3:16">
      <c r="C205" s="3">
        <f>_xlfn.XLOOKUP(B205, 'Revenue Codes'!$A$2:$A$99, 'Revenue Codes'!$B$2:$B$99, "")</f>
        <v>0</v>
      </c>
      <c r="P205" s="6">
        <f t="shared" si="3"/>
        <v>0</v>
      </c>
    </row>
    <row r="206" spans="3:16">
      <c r="C206" s="3">
        <f>_xlfn.XLOOKUP(B206, 'Revenue Codes'!$A$2:$A$99, 'Revenue Codes'!$B$2:$B$99, "")</f>
        <v>0</v>
      </c>
      <c r="P206" s="6">
        <f t="shared" si="3"/>
        <v>0</v>
      </c>
    </row>
    <row r="207" spans="3:16">
      <c r="C207" s="3">
        <f>_xlfn.XLOOKUP(B207, 'Revenue Codes'!$A$2:$A$99, 'Revenue Codes'!$B$2:$B$99, "")</f>
        <v>0</v>
      </c>
      <c r="P207" s="6">
        <f t="shared" si="3"/>
        <v>0</v>
      </c>
    </row>
    <row r="208" spans="3:16">
      <c r="C208" s="3">
        <f>_xlfn.XLOOKUP(B208, 'Revenue Codes'!$A$2:$A$99, 'Revenue Codes'!$B$2:$B$99, "")</f>
        <v>0</v>
      </c>
      <c r="P208" s="6">
        <f t="shared" si="3"/>
        <v>0</v>
      </c>
    </row>
    <row r="209" spans="3:16">
      <c r="C209" s="3">
        <f>_xlfn.XLOOKUP(B209, 'Revenue Codes'!$A$2:$A$99, 'Revenue Codes'!$B$2:$B$99, "")</f>
        <v>0</v>
      </c>
      <c r="P209" s="6">
        <f t="shared" si="3"/>
        <v>0</v>
      </c>
    </row>
    <row r="210" spans="3:16">
      <c r="C210" s="3">
        <f>_xlfn.XLOOKUP(B210, 'Revenue Codes'!$A$2:$A$99, 'Revenue Codes'!$B$2:$B$99, "")</f>
        <v>0</v>
      </c>
      <c r="P210" s="6">
        <f t="shared" si="3"/>
        <v>0</v>
      </c>
    </row>
    <row r="211" spans="3:16">
      <c r="C211" s="3">
        <f>_xlfn.XLOOKUP(B211, 'Revenue Codes'!$A$2:$A$99, 'Revenue Codes'!$B$2:$B$99, "")</f>
        <v>0</v>
      </c>
      <c r="P211" s="6">
        <f t="shared" si="3"/>
        <v>0</v>
      </c>
    </row>
    <row r="212" spans="3:16">
      <c r="C212" s="3">
        <f>_xlfn.XLOOKUP(B212, 'Revenue Codes'!$A$2:$A$99, 'Revenue Codes'!$B$2:$B$99, "")</f>
        <v>0</v>
      </c>
      <c r="P212" s="6">
        <f t="shared" si="3"/>
        <v>0</v>
      </c>
    </row>
    <row r="213" spans="3:16">
      <c r="C213" s="3">
        <f>_xlfn.XLOOKUP(B213, 'Revenue Codes'!$A$2:$A$99, 'Revenue Codes'!$B$2:$B$99, "")</f>
        <v>0</v>
      </c>
      <c r="P213" s="6">
        <f t="shared" si="3"/>
        <v>0</v>
      </c>
    </row>
    <row r="214" spans="3:16">
      <c r="C214" s="3">
        <f>_xlfn.XLOOKUP(B214, 'Revenue Codes'!$A$2:$A$99, 'Revenue Codes'!$B$2:$B$99, "")</f>
        <v>0</v>
      </c>
      <c r="P214" s="6">
        <f t="shared" si="3"/>
        <v>0</v>
      </c>
    </row>
    <row r="215" spans="3:16">
      <c r="C215" s="3">
        <f>_xlfn.XLOOKUP(B215, 'Revenue Codes'!$A$2:$A$99, 'Revenue Codes'!$B$2:$B$99, "")</f>
        <v>0</v>
      </c>
      <c r="P215" s="6">
        <f t="shared" si="3"/>
        <v>0</v>
      </c>
    </row>
    <row r="216" spans="3:16">
      <c r="C216" s="3">
        <f>_xlfn.XLOOKUP(B216, 'Revenue Codes'!$A$2:$A$99, 'Revenue Codes'!$B$2:$B$99, "")</f>
        <v>0</v>
      </c>
      <c r="P216" s="6">
        <f t="shared" si="3"/>
        <v>0</v>
      </c>
    </row>
    <row r="217" spans="3:16">
      <c r="C217" s="3">
        <f>_xlfn.XLOOKUP(B217, 'Revenue Codes'!$A$2:$A$99, 'Revenue Codes'!$B$2:$B$99, "")</f>
        <v>0</v>
      </c>
      <c r="P217" s="6">
        <f t="shared" si="3"/>
        <v>0</v>
      </c>
    </row>
    <row r="218" spans="3:16">
      <c r="C218" s="3">
        <f>_xlfn.XLOOKUP(B218, 'Revenue Codes'!$A$2:$A$99, 'Revenue Codes'!$B$2:$B$99, "")</f>
        <v>0</v>
      </c>
      <c r="P218" s="6">
        <f t="shared" si="3"/>
        <v>0</v>
      </c>
    </row>
    <row r="219" spans="3:16">
      <c r="C219" s="3">
        <f>_xlfn.XLOOKUP(B219, 'Revenue Codes'!$A$2:$A$99, 'Revenue Codes'!$B$2:$B$99, "")</f>
        <v>0</v>
      </c>
      <c r="P219" s="6">
        <f t="shared" si="3"/>
        <v>0</v>
      </c>
    </row>
    <row r="220" spans="3:16">
      <c r="C220" s="3">
        <f>_xlfn.XLOOKUP(B220, 'Revenue Codes'!$A$2:$A$99, 'Revenue Codes'!$B$2:$B$99, "")</f>
        <v>0</v>
      </c>
      <c r="P220" s="6">
        <f t="shared" si="3"/>
        <v>0</v>
      </c>
    </row>
    <row r="221" spans="3:16">
      <c r="C221" s="3">
        <f>_xlfn.XLOOKUP(B221, 'Revenue Codes'!$A$2:$A$99, 'Revenue Codes'!$B$2:$B$99, "")</f>
        <v>0</v>
      </c>
      <c r="P221" s="6">
        <f t="shared" si="3"/>
        <v>0</v>
      </c>
    </row>
    <row r="222" spans="3:16">
      <c r="C222" s="3">
        <f>_xlfn.XLOOKUP(B222, 'Revenue Codes'!$A$2:$A$99, 'Revenue Codes'!$B$2:$B$99, "")</f>
        <v>0</v>
      </c>
      <c r="P222" s="6">
        <f t="shared" si="3"/>
        <v>0</v>
      </c>
    </row>
    <row r="223" spans="3:16">
      <c r="C223" s="3">
        <f>_xlfn.XLOOKUP(B223, 'Revenue Codes'!$A$2:$A$99, 'Revenue Codes'!$B$2:$B$99, "")</f>
        <v>0</v>
      </c>
      <c r="P223" s="6">
        <f t="shared" si="3"/>
        <v>0</v>
      </c>
    </row>
    <row r="224" spans="3:16">
      <c r="C224" s="3">
        <f>_xlfn.XLOOKUP(B224, 'Revenue Codes'!$A$2:$A$99, 'Revenue Codes'!$B$2:$B$99, "")</f>
        <v>0</v>
      </c>
      <c r="P224" s="6">
        <f t="shared" si="3"/>
        <v>0</v>
      </c>
    </row>
    <row r="225" spans="3:16">
      <c r="C225" s="3">
        <f>_xlfn.XLOOKUP(B225, 'Revenue Codes'!$A$2:$A$99, 'Revenue Codes'!$B$2:$B$99, "")</f>
        <v>0</v>
      </c>
      <c r="P225" s="6">
        <f t="shared" si="3"/>
        <v>0</v>
      </c>
    </row>
    <row r="226" spans="3:16">
      <c r="C226" s="3">
        <f>_xlfn.XLOOKUP(B226, 'Revenue Codes'!$A$2:$A$99, 'Revenue Codes'!$B$2:$B$99, "")</f>
        <v>0</v>
      </c>
      <c r="P226" s="6">
        <f t="shared" si="3"/>
        <v>0</v>
      </c>
    </row>
    <row r="227" spans="3:16">
      <c r="C227" s="3">
        <f>_xlfn.XLOOKUP(B227, 'Revenue Codes'!$A$2:$A$99, 'Revenue Codes'!$B$2:$B$99, "")</f>
        <v>0</v>
      </c>
      <c r="P227" s="6">
        <f t="shared" si="3"/>
        <v>0</v>
      </c>
    </row>
    <row r="228" spans="3:16">
      <c r="C228" s="3">
        <f>_xlfn.XLOOKUP(B228, 'Revenue Codes'!$A$2:$A$99, 'Revenue Codes'!$B$2:$B$99, "")</f>
        <v>0</v>
      </c>
      <c r="P228" s="6">
        <f t="shared" si="3"/>
        <v>0</v>
      </c>
    </row>
    <row r="229" spans="3:16">
      <c r="C229" s="3">
        <f>_xlfn.XLOOKUP(B229, 'Revenue Codes'!$A$2:$A$99, 'Revenue Codes'!$B$2:$B$99, "")</f>
        <v>0</v>
      </c>
      <c r="P229" s="6">
        <f t="shared" si="3"/>
        <v>0</v>
      </c>
    </row>
    <row r="230" spans="3:16">
      <c r="C230" s="3">
        <f>_xlfn.XLOOKUP(B230, 'Revenue Codes'!$A$2:$A$99, 'Revenue Codes'!$B$2:$B$99, "")</f>
        <v>0</v>
      </c>
      <c r="P230" s="6">
        <f t="shared" si="3"/>
        <v>0</v>
      </c>
    </row>
    <row r="231" spans="3:16">
      <c r="C231" s="3">
        <f>_xlfn.XLOOKUP(B231, 'Revenue Codes'!$A$2:$A$99, 'Revenue Codes'!$B$2:$B$99, "")</f>
        <v>0</v>
      </c>
      <c r="P231" s="6">
        <f t="shared" si="3"/>
        <v>0</v>
      </c>
    </row>
    <row r="232" spans="3:16">
      <c r="C232" s="3">
        <f>_xlfn.XLOOKUP(B232, 'Revenue Codes'!$A$2:$A$99, 'Revenue Codes'!$B$2:$B$99, "")</f>
        <v>0</v>
      </c>
      <c r="P232" s="6">
        <f t="shared" si="3"/>
        <v>0</v>
      </c>
    </row>
    <row r="233" spans="3:16">
      <c r="C233" s="3">
        <f>_xlfn.XLOOKUP(B233, 'Revenue Codes'!$A$2:$A$99, 'Revenue Codes'!$B$2:$B$99, "")</f>
        <v>0</v>
      </c>
      <c r="P233" s="6">
        <f t="shared" si="3"/>
        <v>0</v>
      </c>
    </row>
    <row r="234" spans="3:16">
      <c r="C234" s="3">
        <f>_xlfn.XLOOKUP(B234, 'Revenue Codes'!$A$2:$A$99, 'Revenue Codes'!$B$2:$B$99, "")</f>
        <v>0</v>
      </c>
      <c r="P234" s="6">
        <f t="shared" si="3"/>
        <v>0</v>
      </c>
    </row>
    <row r="235" spans="3:16">
      <c r="C235" s="3">
        <f>_xlfn.XLOOKUP(B235, 'Revenue Codes'!$A$2:$A$99, 'Revenue Codes'!$B$2:$B$99, "")</f>
        <v>0</v>
      </c>
      <c r="P235" s="6">
        <f t="shared" si="3"/>
        <v>0</v>
      </c>
    </row>
    <row r="236" spans="3:16">
      <c r="C236" s="3">
        <f>_xlfn.XLOOKUP(B236, 'Revenue Codes'!$A$2:$A$99, 'Revenue Codes'!$B$2:$B$99, "")</f>
        <v>0</v>
      </c>
      <c r="P236" s="6">
        <f t="shared" si="3"/>
        <v>0</v>
      </c>
    </row>
    <row r="237" spans="3:16">
      <c r="C237" s="3">
        <f>_xlfn.XLOOKUP(B237, 'Revenue Codes'!$A$2:$A$99, 'Revenue Codes'!$B$2:$B$99, "")</f>
        <v>0</v>
      </c>
      <c r="P237" s="6">
        <f t="shared" si="3"/>
        <v>0</v>
      </c>
    </row>
    <row r="238" spans="3:16">
      <c r="C238" s="3">
        <f>_xlfn.XLOOKUP(B238, 'Revenue Codes'!$A$2:$A$99, 'Revenue Codes'!$B$2:$B$99, "")</f>
        <v>0</v>
      </c>
      <c r="P238" s="6">
        <f t="shared" si="3"/>
        <v>0</v>
      </c>
    </row>
    <row r="239" spans="3:16">
      <c r="C239" s="3">
        <f>_xlfn.XLOOKUP(B239, 'Revenue Codes'!$A$2:$A$99, 'Revenue Codes'!$B$2:$B$99, "")</f>
        <v>0</v>
      </c>
      <c r="P239" s="6">
        <f t="shared" si="3"/>
        <v>0</v>
      </c>
    </row>
    <row r="240" spans="3:16">
      <c r="C240" s="3">
        <f>_xlfn.XLOOKUP(B240, 'Revenue Codes'!$A$2:$A$99, 'Revenue Codes'!$B$2:$B$99, "")</f>
        <v>0</v>
      </c>
      <c r="P240" s="6">
        <f t="shared" si="3"/>
        <v>0</v>
      </c>
    </row>
    <row r="241" spans="3:16">
      <c r="C241" s="3">
        <f>_xlfn.XLOOKUP(B241, 'Revenue Codes'!$A$2:$A$99, 'Revenue Codes'!$B$2:$B$99, "")</f>
        <v>0</v>
      </c>
      <c r="P241" s="6">
        <f t="shared" si="3"/>
        <v>0</v>
      </c>
    </row>
    <row r="242" spans="3:16">
      <c r="C242" s="3">
        <f>_xlfn.XLOOKUP(B242, 'Revenue Codes'!$A$2:$A$99, 'Revenue Codes'!$B$2:$B$99, "")</f>
        <v>0</v>
      </c>
      <c r="P242" s="6">
        <f t="shared" si="3"/>
        <v>0</v>
      </c>
    </row>
    <row r="243" spans="3:16">
      <c r="C243" s="3">
        <f>_xlfn.XLOOKUP(B243, 'Revenue Codes'!$A$2:$A$99, 'Revenue Codes'!$B$2:$B$99, "")</f>
        <v>0</v>
      </c>
      <c r="P243" s="6">
        <f t="shared" si="3"/>
        <v>0</v>
      </c>
    </row>
    <row r="244" spans="3:16">
      <c r="C244" s="3">
        <f>_xlfn.XLOOKUP(B244, 'Revenue Codes'!$A$2:$A$99, 'Revenue Codes'!$B$2:$B$99, "")</f>
        <v>0</v>
      </c>
      <c r="P244" s="6">
        <f t="shared" si="3"/>
        <v>0</v>
      </c>
    </row>
    <row r="245" spans="3:16">
      <c r="C245" s="3">
        <f>_xlfn.XLOOKUP(B245, 'Revenue Codes'!$A$2:$A$99, 'Revenue Codes'!$B$2:$B$99, "")</f>
        <v>0</v>
      </c>
      <c r="P245" s="6">
        <f t="shared" si="3"/>
        <v>0</v>
      </c>
    </row>
    <row r="246" spans="3:16">
      <c r="C246" s="3">
        <f>_xlfn.XLOOKUP(B246, 'Revenue Codes'!$A$2:$A$99, 'Revenue Codes'!$B$2:$B$99, "")</f>
        <v>0</v>
      </c>
      <c r="P246" s="6">
        <f t="shared" si="3"/>
        <v>0</v>
      </c>
    </row>
    <row r="247" spans="3:16">
      <c r="C247" s="3">
        <f>_xlfn.XLOOKUP(B247, 'Revenue Codes'!$A$2:$A$99, 'Revenue Codes'!$B$2:$B$99, "")</f>
        <v>0</v>
      </c>
      <c r="P247" s="6">
        <f t="shared" si="3"/>
        <v>0</v>
      </c>
    </row>
    <row r="248" spans="3:16">
      <c r="C248" s="3">
        <f>_xlfn.XLOOKUP(B248, 'Revenue Codes'!$A$2:$A$99, 'Revenue Codes'!$B$2:$B$99, "")</f>
        <v>0</v>
      </c>
      <c r="P248" s="6">
        <f t="shared" si="3"/>
        <v>0</v>
      </c>
    </row>
    <row r="249" spans="3:16">
      <c r="C249" s="3">
        <f>_xlfn.XLOOKUP(B249, 'Revenue Codes'!$A$2:$A$99, 'Revenue Codes'!$B$2:$B$99, "")</f>
        <v>0</v>
      </c>
      <c r="P249" s="6">
        <f t="shared" si="3"/>
        <v>0</v>
      </c>
    </row>
    <row r="250" spans="3:16">
      <c r="C250" s="3">
        <f>_xlfn.XLOOKUP(B250, 'Revenue Codes'!$A$2:$A$99, 'Revenue Codes'!$B$2:$B$99, "")</f>
        <v>0</v>
      </c>
      <c r="P250" s="6">
        <f t="shared" si="3"/>
        <v>0</v>
      </c>
    </row>
    <row r="251" spans="3:16">
      <c r="C251" s="3">
        <f>_xlfn.XLOOKUP(B251, 'Revenue Codes'!$A$2:$A$99, 'Revenue Codes'!$B$2:$B$99, "")</f>
        <v>0</v>
      </c>
      <c r="P251" s="6">
        <f t="shared" si="3"/>
        <v>0</v>
      </c>
    </row>
    <row r="252" spans="3:16">
      <c r="C252" s="3">
        <f>_xlfn.XLOOKUP(B252, 'Revenue Codes'!$A$2:$A$99, 'Revenue Codes'!$B$2:$B$99, "")</f>
        <v>0</v>
      </c>
      <c r="P252" s="6">
        <f t="shared" si="3"/>
        <v>0</v>
      </c>
    </row>
    <row r="253" spans="3:16">
      <c r="C253" s="3">
        <f>_xlfn.XLOOKUP(B253, 'Revenue Codes'!$A$2:$A$99, 'Revenue Codes'!$B$2:$B$99, "")</f>
        <v>0</v>
      </c>
      <c r="P253" s="6">
        <f t="shared" si="3"/>
        <v>0</v>
      </c>
    </row>
    <row r="254" spans="3:16">
      <c r="C254" s="3">
        <f>_xlfn.XLOOKUP(B254, 'Revenue Codes'!$A$2:$A$99, 'Revenue Codes'!$B$2:$B$99, "")</f>
        <v>0</v>
      </c>
      <c r="P254" s="6">
        <f t="shared" si="3"/>
        <v>0</v>
      </c>
    </row>
    <row r="255" spans="3:16">
      <c r="C255" s="3">
        <f>_xlfn.XLOOKUP(B255, 'Revenue Codes'!$A$2:$A$99, 'Revenue Codes'!$B$2:$B$99, "")</f>
        <v>0</v>
      </c>
      <c r="P255" s="6">
        <f t="shared" si="3"/>
        <v>0</v>
      </c>
    </row>
    <row r="256" spans="3:16">
      <c r="C256" s="3">
        <f>_xlfn.XLOOKUP(B256, 'Revenue Codes'!$A$2:$A$99, 'Revenue Codes'!$B$2:$B$99, "")</f>
        <v>0</v>
      </c>
      <c r="P256" s="6">
        <f t="shared" si="3"/>
        <v>0</v>
      </c>
    </row>
    <row r="257" spans="3:16">
      <c r="C257" s="3">
        <f>_xlfn.XLOOKUP(B257, 'Revenue Codes'!$A$2:$A$99, 'Revenue Codes'!$B$2:$B$99, "")</f>
        <v>0</v>
      </c>
      <c r="P257" s="6">
        <f t="shared" si="3"/>
        <v>0</v>
      </c>
    </row>
    <row r="258" spans="3:16">
      <c r="C258" s="3">
        <f>_xlfn.XLOOKUP(B258, 'Revenue Codes'!$A$2:$A$99, 'Revenue Codes'!$B$2:$B$99, "")</f>
        <v>0</v>
      </c>
      <c r="P258" s="6">
        <f t="shared" ref="P258:P321" si="4">SUM(D258:O258)</f>
        <v>0</v>
      </c>
    </row>
    <row r="259" spans="3:16">
      <c r="C259" s="3">
        <f>_xlfn.XLOOKUP(B259, 'Revenue Codes'!$A$2:$A$99, 'Revenue Codes'!$B$2:$B$99, "")</f>
        <v>0</v>
      </c>
      <c r="P259" s="6">
        <f t="shared" si="4"/>
        <v>0</v>
      </c>
    </row>
    <row r="260" spans="3:16">
      <c r="C260" s="3">
        <f>_xlfn.XLOOKUP(B260, 'Revenue Codes'!$A$2:$A$99, 'Revenue Codes'!$B$2:$B$99, "")</f>
        <v>0</v>
      </c>
      <c r="P260" s="6">
        <f t="shared" si="4"/>
        <v>0</v>
      </c>
    </row>
    <row r="261" spans="3:16">
      <c r="C261" s="3">
        <f>_xlfn.XLOOKUP(B261, 'Revenue Codes'!$A$2:$A$99, 'Revenue Codes'!$B$2:$B$99, "")</f>
        <v>0</v>
      </c>
      <c r="P261" s="6">
        <f t="shared" si="4"/>
        <v>0</v>
      </c>
    </row>
    <row r="262" spans="3:16">
      <c r="C262" s="3">
        <f>_xlfn.XLOOKUP(B262, 'Revenue Codes'!$A$2:$A$99, 'Revenue Codes'!$B$2:$B$99, "")</f>
        <v>0</v>
      </c>
      <c r="P262" s="6">
        <f t="shared" si="4"/>
        <v>0</v>
      </c>
    </row>
    <row r="263" spans="3:16">
      <c r="C263" s="3">
        <f>_xlfn.XLOOKUP(B263, 'Revenue Codes'!$A$2:$A$99, 'Revenue Codes'!$B$2:$B$99, "")</f>
        <v>0</v>
      </c>
      <c r="P263" s="6">
        <f t="shared" si="4"/>
        <v>0</v>
      </c>
    </row>
    <row r="264" spans="3:16">
      <c r="C264" s="3">
        <f>_xlfn.XLOOKUP(B264, 'Revenue Codes'!$A$2:$A$99, 'Revenue Codes'!$B$2:$B$99, "")</f>
        <v>0</v>
      </c>
      <c r="P264" s="6">
        <f t="shared" si="4"/>
        <v>0</v>
      </c>
    </row>
    <row r="265" spans="3:16">
      <c r="C265" s="3">
        <f>_xlfn.XLOOKUP(B265, 'Revenue Codes'!$A$2:$A$99, 'Revenue Codes'!$B$2:$B$99, "")</f>
        <v>0</v>
      </c>
      <c r="P265" s="6">
        <f t="shared" si="4"/>
        <v>0</v>
      </c>
    </row>
    <row r="266" spans="3:16">
      <c r="C266" s="3">
        <f>_xlfn.XLOOKUP(B266, 'Revenue Codes'!$A$2:$A$99, 'Revenue Codes'!$B$2:$B$99, "")</f>
        <v>0</v>
      </c>
      <c r="P266" s="6">
        <f t="shared" si="4"/>
        <v>0</v>
      </c>
    </row>
    <row r="267" spans="3:16">
      <c r="C267" s="3">
        <f>_xlfn.XLOOKUP(B267, 'Revenue Codes'!$A$2:$A$99, 'Revenue Codes'!$B$2:$B$99, "")</f>
        <v>0</v>
      </c>
      <c r="P267" s="6">
        <f t="shared" si="4"/>
        <v>0</v>
      </c>
    </row>
    <row r="268" spans="3:16">
      <c r="C268" s="3">
        <f>_xlfn.XLOOKUP(B268, 'Revenue Codes'!$A$2:$A$99, 'Revenue Codes'!$B$2:$B$99, "")</f>
        <v>0</v>
      </c>
      <c r="P268" s="6">
        <f t="shared" si="4"/>
        <v>0</v>
      </c>
    </row>
    <row r="269" spans="3:16">
      <c r="C269" s="3">
        <f>_xlfn.XLOOKUP(B269, 'Revenue Codes'!$A$2:$A$99, 'Revenue Codes'!$B$2:$B$99, "")</f>
        <v>0</v>
      </c>
      <c r="P269" s="6">
        <f t="shared" si="4"/>
        <v>0</v>
      </c>
    </row>
    <row r="270" spans="3:16">
      <c r="C270" s="3">
        <f>_xlfn.XLOOKUP(B270, 'Revenue Codes'!$A$2:$A$99, 'Revenue Codes'!$B$2:$B$99, "")</f>
        <v>0</v>
      </c>
      <c r="P270" s="6">
        <f t="shared" si="4"/>
        <v>0</v>
      </c>
    </row>
    <row r="271" spans="3:16">
      <c r="C271" s="3">
        <f>_xlfn.XLOOKUP(B271, 'Revenue Codes'!$A$2:$A$99, 'Revenue Codes'!$B$2:$B$99, "")</f>
        <v>0</v>
      </c>
      <c r="P271" s="6">
        <f t="shared" si="4"/>
        <v>0</v>
      </c>
    </row>
    <row r="272" spans="3:16">
      <c r="C272" s="3">
        <f>_xlfn.XLOOKUP(B272, 'Revenue Codes'!$A$2:$A$99, 'Revenue Codes'!$B$2:$B$99, "")</f>
        <v>0</v>
      </c>
      <c r="P272" s="6">
        <f t="shared" si="4"/>
        <v>0</v>
      </c>
    </row>
    <row r="273" spans="3:16">
      <c r="C273" s="3">
        <f>_xlfn.XLOOKUP(B273, 'Revenue Codes'!$A$2:$A$99, 'Revenue Codes'!$B$2:$B$99, "")</f>
        <v>0</v>
      </c>
      <c r="P273" s="6">
        <f t="shared" si="4"/>
        <v>0</v>
      </c>
    </row>
    <row r="274" spans="3:16">
      <c r="C274" s="3">
        <f>_xlfn.XLOOKUP(B274, 'Revenue Codes'!$A$2:$A$99, 'Revenue Codes'!$B$2:$B$99, "")</f>
        <v>0</v>
      </c>
      <c r="P274" s="6">
        <f t="shared" si="4"/>
        <v>0</v>
      </c>
    </row>
    <row r="275" spans="3:16">
      <c r="C275" s="3">
        <f>_xlfn.XLOOKUP(B275, 'Revenue Codes'!$A$2:$A$99, 'Revenue Codes'!$B$2:$B$99, "")</f>
        <v>0</v>
      </c>
      <c r="P275" s="6">
        <f t="shared" si="4"/>
        <v>0</v>
      </c>
    </row>
    <row r="276" spans="3:16">
      <c r="C276" s="3">
        <f>_xlfn.XLOOKUP(B276, 'Revenue Codes'!$A$2:$A$99, 'Revenue Codes'!$B$2:$B$99, "")</f>
        <v>0</v>
      </c>
      <c r="P276" s="6">
        <f t="shared" si="4"/>
        <v>0</v>
      </c>
    </row>
    <row r="277" spans="3:16">
      <c r="C277" s="3">
        <f>_xlfn.XLOOKUP(B277, 'Revenue Codes'!$A$2:$A$99, 'Revenue Codes'!$B$2:$B$99, "")</f>
        <v>0</v>
      </c>
      <c r="P277" s="6">
        <f t="shared" si="4"/>
        <v>0</v>
      </c>
    </row>
    <row r="278" spans="3:16">
      <c r="C278" s="3">
        <f>_xlfn.XLOOKUP(B278, 'Revenue Codes'!$A$2:$A$99, 'Revenue Codes'!$B$2:$B$99, "")</f>
        <v>0</v>
      </c>
      <c r="P278" s="6">
        <f t="shared" si="4"/>
        <v>0</v>
      </c>
    </row>
    <row r="279" spans="3:16">
      <c r="C279" s="3">
        <f>_xlfn.XLOOKUP(B279, 'Revenue Codes'!$A$2:$A$99, 'Revenue Codes'!$B$2:$B$99, "")</f>
        <v>0</v>
      </c>
      <c r="P279" s="6">
        <f t="shared" si="4"/>
        <v>0</v>
      </c>
    </row>
    <row r="280" spans="3:16">
      <c r="C280" s="3">
        <f>_xlfn.XLOOKUP(B280, 'Revenue Codes'!$A$2:$A$99, 'Revenue Codes'!$B$2:$B$99, "")</f>
        <v>0</v>
      </c>
      <c r="P280" s="6">
        <f t="shared" si="4"/>
        <v>0</v>
      </c>
    </row>
    <row r="281" spans="3:16">
      <c r="C281" s="3">
        <f>_xlfn.XLOOKUP(B281, 'Revenue Codes'!$A$2:$A$99, 'Revenue Codes'!$B$2:$B$99, "")</f>
        <v>0</v>
      </c>
      <c r="P281" s="6">
        <f t="shared" si="4"/>
        <v>0</v>
      </c>
    </row>
    <row r="282" spans="3:16">
      <c r="C282" s="3">
        <f>_xlfn.XLOOKUP(B282, 'Revenue Codes'!$A$2:$A$99, 'Revenue Codes'!$B$2:$B$99, "")</f>
        <v>0</v>
      </c>
      <c r="P282" s="6">
        <f t="shared" si="4"/>
        <v>0</v>
      </c>
    </row>
    <row r="283" spans="3:16">
      <c r="C283" s="3">
        <f>_xlfn.XLOOKUP(B283, 'Revenue Codes'!$A$2:$A$99, 'Revenue Codes'!$B$2:$B$99, "")</f>
        <v>0</v>
      </c>
      <c r="P283" s="6">
        <f t="shared" si="4"/>
        <v>0</v>
      </c>
    </row>
    <row r="284" spans="3:16">
      <c r="C284" s="3">
        <f>_xlfn.XLOOKUP(B284, 'Revenue Codes'!$A$2:$A$99, 'Revenue Codes'!$B$2:$B$99, "")</f>
        <v>0</v>
      </c>
      <c r="P284" s="6">
        <f t="shared" si="4"/>
        <v>0</v>
      </c>
    </row>
    <row r="285" spans="3:16">
      <c r="C285" s="3">
        <f>_xlfn.XLOOKUP(B285, 'Revenue Codes'!$A$2:$A$99, 'Revenue Codes'!$B$2:$B$99, "")</f>
        <v>0</v>
      </c>
      <c r="P285" s="6">
        <f t="shared" si="4"/>
        <v>0</v>
      </c>
    </row>
    <row r="286" spans="3:16">
      <c r="C286" s="3">
        <f>_xlfn.XLOOKUP(B286, 'Revenue Codes'!$A$2:$A$99, 'Revenue Codes'!$B$2:$B$99, "")</f>
        <v>0</v>
      </c>
      <c r="P286" s="6">
        <f t="shared" si="4"/>
        <v>0</v>
      </c>
    </row>
    <row r="287" spans="3:16">
      <c r="C287" s="3">
        <f>_xlfn.XLOOKUP(B287, 'Revenue Codes'!$A$2:$A$99, 'Revenue Codes'!$B$2:$B$99, "")</f>
        <v>0</v>
      </c>
      <c r="P287" s="6">
        <f t="shared" si="4"/>
        <v>0</v>
      </c>
    </row>
    <row r="288" spans="3:16">
      <c r="C288" s="3">
        <f>_xlfn.XLOOKUP(B288, 'Revenue Codes'!$A$2:$A$99, 'Revenue Codes'!$B$2:$B$99, "")</f>
        <v>0</v>
      </c>
      <c r="P288" s="6">
        <f t="shared" si="4"/>
        <v>0</v>
      </c>
    </row>
    <row r="289" spans="3:16">
      <c r="C289" s="3">
        <f>_xlfn.XLOOKUP(B289, 'Revenue Codes'!$A$2:$A$99, 'Revenue Codes'!$B$2:$B$99, "")</f>
        <v>0</v>
      </c>
      <c r="P289" s="6">
        <f t="shared" si="4"/>
        <v>0</v>
      </c>
    </row>
    <row r="290" spans="3:16">
      <c r="C290" s="3">
        <f>_xlfn.XLOOKUP(B290, 'Revenue Codes'!$A$2:$A$99, 'Revenue Codes'!$B$2:$B$99, "")</f>
        <v>0</v>
      </c>
      <c r="P290" s="6">
        <f t="shared" si="4"/>
        <v>0</v>
      </c>
    </row>
    <row r="291" spans="3:16">
      <c r="C291" s="3">
        <f>_xlfn.XLOOKUP(B291, 'Revenue Codes'!$A$2:$A$99, 'Revenue Codes'!$B$2:$B$99, "")</f>
        <v>0</v>
      </c>
      <c r="P291" s="6">
        <f t="shared" si="4"/>
        <v>0</v>
      </c>
    </row>
    <row r="292" spans="3:16">
      <c r="C292" s="3">
        <f>_xlfn.XLOOKUP(B292, 'Revenue Codes'!$A$2:$A$99, 'Revenue Codes'!$B$2:$B$99, "")</f>
        <v>0</v>
      </c>
      <c r="P292" s="6">
        <f t="shared" si="4"/>
        <v>0</v>
      </c>
    </row>
    <row r="293" spans="3:16">
      <c r="C293" s="3">
        <f>_xlfn.XLOOKUP(B293, 'Revenue Codes'!$A$2:$A$99, 'Revenue Codes'!$B$2:$B$99, "")</f>
        <v>0</v>
      </c>
      <c r="P293" s="6">
        <f t="shared" si="4"/>
        <v>0</v>
      </c>
    </row>
    <row r="294" spans="3:16">
      <c r="C294" s="3">
        <f>_xlfn.XLOOKUP(B294, 'Revenue Codes'!$A$2:$A$99, 'Revenue Codes'!$B$2:$B$99, "")</f>
        <v>0</v>
      </c>
      <c r="P294" s="6">
        <f t="shared" si="4"/>
        <v>0</v>
      </c>
    </row>
    <row r="295" spans="3:16">
      <c r="C295" s="3">
        <f>_xlfn.XLOOKUP(B295, 'Revenue Codes'!$A$2:$A$99, 'Revenue Codes'!$B$2:$B$99, "")</f>
        <v>0</v>
      </c>
      <c r="P295" s="6">
        <f t="shared" si="4"/>
        <v>0</v>
      </c>
    </row>
    <row r="296" spans="3:16">
      <c r="C296" s="3">
        <f>_xlfn.XLOOKUP(B296, 'Revenue Codes'!$A$2:$A$99, 'Revenue Codes'!$B$2:$B$99, "")</f>
        <v>0</v>
      </c>
      <c r="P296" s="6">
        <f t="shared" si="4"/>
        <v>0</v>
      </c>
    </row>
    <row r="297" spans="3:16">
      <c r="C297" s="3">
        <f>_xlfn.XLOOKUP(B297, 'Revenue Codes'!$A$2:$A$99, 'Revenue Codes'!$B$2:$B$99, "")</f>
        <v>0</v>
      </c>
      <c r="P297" s="6">
        <f t="shared" si="4"/>
        <v>0</v>
      </c>
    </row>
    <row r="298" spans="3:16">
      <c r="C298" s="3">
        <f>_xlfn.XLOOKUP(B298, 'Revenue Codes'!$A$2:$A$99, 'Revenue Codes'!$B$2:$B$99, "")</f>
        <v>0</v>
      </c>
      <c r="P298" s="6">
        <f t="shared" si="4"/>
        <v>0</v>
      </c>
    </row>
    <row r="299" spans="3:16">
      <c r="C299" s="3">
        <f>_xlfn.XLOOKUP(B299, 'Revenue Codes'!$A$2:$A$99, 'Revenue Codes'!$B$2:$B$99, "")</f>
        <v>0</v>
      </c>
      <c r="P299" s="6">
        <f t="shared" si="4"/>
        <v>0</v>
      </c>
    </row>
    <row r="300" spans="3:16">
      <c r="C300" s="3">
        <f>_xlfn.XLOOKUP(B300, 'Revenue Codes'!$A$2:$A$99, 'Revenue Codes'!$B$2:$B$99, "")</f>
        <v>0</v>
      </c>
      <c r="P300" s="6">
        <f t="shared" si="4"/>
        <v>0</v>
      </c>
    </row>
    <row r="301" spans="3:16">
      <c r="C301" s="3">
        <f>_xlfn.XLOOKUP(B301, 'Revenue Codes'!$A$2:$A$99, 'Revenue Codes'!$B$2:$B$99, "")</f>
        <v>0</v>
      </c>
      <c r="P301" s="6">
        <f t="shared" si="4"/>
        <v>0</v>
      </c>
    </row>
    <row r="302" spans="3:16">
      <c r="C302" s="3">
        <f>_xlfn.XLOOKUP(B302, 'Revenue Codes'!$A$2:$A$99, 'Revenue Codes'!$B$2:$B$99, "")</f>
        <v>0</v>
      </c>
      <c r="P302" s="6">
        <f t="shared" si="4"/>
        <v>0</v>
      </c>
    </row>
    <row r="303" spans="3:16">
      <c r="C303" s="3">
        <f>_xlfn.XLOOKUP(B303, 'Revenue Codes'!$A$2:$A$99, 'Revenue Codes'!$B$2:$B$99, "")</f>
        <v>0</v>
      </c>
      <c r="P303" s="6">
        <f t="shared" si="4"/>
        <v>0</v>
      </c>
    </row>
    <row r="304" spans="3:16">
      <c r="C304" s="3">
        <f>_xlfn.XLOOKUP(B304, 'Revenue Codes'!$A$2:$A$99, 'Revenue Codes'!$B$2:$B$99, "")</f>
        <v>0</v>
      </c>
      <c r="P304" s="6">
        <f t="shared" si="4"/>
        <v>0</v>
      </c>
    </row>
    <row r="305" spans="3:16">
      <c r="C305" s="3">
        <f>_xlfn.XLOOKUP(B305, 'Revenue Codes'!$A$2:$A$99, 'Revenue Codes'!$B$2:$B$99, "")</f>
        <v>0</v>
      </c>
      <c r="P305" s="6">
        <f t="shared" si="4"/>
        <v>0</v>
      </c>
    </row>
    <row r="306" spans="3:16">
      <c r="C306" s="3">
        <f>_xlfn.XLOOKUP(B306, 'Revenue Codes'!$A$2:$A$99, 'Revenue Codes'!$B$2:$B$99, "")</f>
        <v>0</v>
      </c>
      <c r="P306" s="6">
        <f t="shared" si="4"/>
        <v>0</v>
      </c>
    </row>
    <row r="307" spans="3:16">
      <c r="C307" s="3">
        <f>_xlfn.XLOOKUP(B307, 'Revenue Codes'!$A$2:$A$99, 'Revenue Codes'!$B$2:$B$99, "")</f>
        <v>0</v>
      </c>
      <c r="P307" s="6">
        <f t="shared" si="4"/>
        <v>0</v>
      </c>
    </row>
    <row r="308" spans="3:16">
      <c r="C308" s="3">
        <f>_xlfn.XLOOKUP(B308, 'Revenue Codes'!$A$2:$A$99, 'Revenue Codes'!$B$2:$B$99, "")</f>
        <v>0</v>
      </c>
      <c r="P308" s="6">
        <f t="shared" si="4"/>
        <v>0</v>
      </c>
    </row>
    <row r="309" spans="3:16">
      <c r="C309" s="3">
        <f>_xlfn.XLOOKUP(B309, 'Revenue Codes'!$A$2:$A$99, 'Revenue Codes'!$B$2:$B$99, "")</f>
        <v>0</v>
      </c>
      <c r="P309" s="6">
        <f t="shared" si="4"/>
        <v>0</v>
      </c>
    </row>
    <row r="310" spans="3:16">
      <c r="C310" s="3">
        <f>_xlfn.XLOOKUP(B310, 'Revenue Codes'!$A$2:$A$99, 'Revenue Codes'!$B$2:$B$99, "")</f>
        <v>0</v>
      </c>
      <c r="P310" s="6">
        <f t="shared" si="4"/>
        <v>0</v>
      </c>
    </row>
    <row r="311" spans="3:16">
      <c r="C311" s="3">
        <f>_xlfn.XLOOKUP(B311, 'Revenue Codes'!$A$2:$A$99, 'Revenue Codes'!$B$2:$B$99, "")</f>
        <v>0</v>
      </c>
      <c r="P311" s="6">
        <f t="shared" si="4"/>
        <v>0</v>
      </c>
    </row>
    <row r="312" spans="3:16">
      <c r="C312" s="3">
        <f>_xlfn.XLOOKUP(B312, 'Revenue Codes'!$A$2:$A$99, 'Revenue Codes'!$B$2:$B$99, "")</f>
        <v>0</v>
      </c>
      <c r="P312" s="6">
        <f t="shared" si="4"/>
        <v>0</v>
      </c>
    </row>
    <row r="313" spans="3:16">
      <c r="C313" s="3">
        <f>_xlfn.XLOOKUP(B313, 'Revenue Codes'!$A$2:$A$99, 'Revenue Codes'!$B$2:$B$99, "")</f>
        <v>0</v>
      </c>
      <c r="P313" s="6">
        <f t="shared" si="4"/>
        <v>0</v>
      </c>
    </row>
    <row r="314" spans="3:16">
      <c r="C314" s="3">
        <f>_xlfn.XLOOKUP(B314, 'Revenue Codes'!$A$2:$A$99, 'Revenue Codes'!$B$2:$B$99, "")</f>
        <v>0</v>
      </c>
      <c r="P314" s="6">
        <f t="shared" si="4"/>
        <v>0</v>
      </c>
    </row>
    <row r="315" spans="3:16">
      <c r="C315" s="3">
        <f>_xlfn.XLOOKUP(B315, 'Revenue Codes'!$A$2:$A$99, 'Revenue Codes'!$B$2:$B$99, "")</f>
        <v>0</v>
      </c>
      <c r="P315" s="6">
        <f t="shared" si="4"/>
        <v>0</v>
      </c>
    </row>
    <row r="316" spans="3:16">
      <c r="C316" s="3">
        <f>_xlfn.XLOOKUP(B316, 'Revenue Codes'!$A$2:$A$99, 'Revenue Codes'!$B$2:$B$99, "")</f>
        <v>0</v>
      </c>
      <c r="P316" s="6">
        <f t="shared" si="4"/>
        <v>0</v>
      </c>
    </row>
    <row r="317" spans="3:16">
      <c r="C317" s="3">
        <f>_xlfn.XLOOKUP(B317, 'Revenue Codes'!$A$2:$A$99, 'Revenue Codes'!$B$2:$B$99, "")</f>
        <v>0</v>
      </c>
      <c r="P317" s="6">
        <f t="shared" si="4"/>
        <v>0</v>
      </c>
    </row>
    <row r="318" spans="3:16">
      <c r="C318" s="3">
        <f>_xlfn.XLOOKUP(B318, 'Revenue Codes'!$A$2:$A$99, 'Revenue Codes'!$B$2:$B$99, "")</f>
        <v>0</v>
      </c>
      <c r="P318" s="6">
        <f t="shared" si="4"/>
        <v>0</v>
      </c>
    </row>
    <row r="319" spans="3:16">
      <c r="C319" s="3">
        <f>_xlfn.XLOOKUP(B319, 'Revenue Codes'!$A$2:$A$99, 'Revenue Codes'!$B$2:$B$99, "")</f>
        <v>0</v>
      </c>
      <c r="P319" s="6">
        <f t="shared" si="4"/>
        <v>0</v>
      </c>
    </row>
    <row r="320" spans="3:16">
      <c r="C320" s="3">
        <f>_xlfn.XLOOKUP(B320, 'Revenue Codes'!$A$2:$A$99, 'Revenue Codes'!$B$2:$B$99, "")</f>
        <v>0</v>
      </c>
      <c r="P320" s="6">
        <f t="shared" si="4"/>
        <v>0</v>
      </c>
    </row>
    <row r="321" spans="3:16">
      <c r="C321" s="3">
        <f>_xlfn.XLOOKUP(B321, 'Revenue Codes'!$A$2:$A$99, 'Revenue Codes'!$B$2:$B$99, "")</f>
        <v>0</v>
      </c>
      <c r="P321" s="6">
        <f t="shared" si="4"/>
        <v>0</v>
      </c>
    </row>
    <row r="322" spans="3:16">
      <c r="C322" s="3">
        <f>_xlfn.XLOOKUP(B322, 'Revenue Codes'!$A$2:$A$99, 'Revenue Codes'!$B$2:$B$99, "")</f>
        <v>0</v>
      </c>
      <c r="P322" s="6">
        <f t="shared" ref="P322:P385" si="5">SUM(D322:O322)</f>
        <v>0</v>
      </c>
    </row>
    <row r="323" spans="3:16">
      <c r="C323" s="3">
        <f>_xlfn.XLOOKUP(B323, 'Revenue Codes'!$A$2:$A$99, 'Revenue Codes'!$B$2:$B$99, "")</f>
        <v>0</v>
      </c>
      <c r="P323" s="6">
        <f t="shared" si="5"/>
        <v>0</v>
      </c>
    </row>
    <row r="324" spans="3:16">
      <c r="C324" s="3">
        <f>_xlfn.XLOOKUP(B324, 'Revenue Codes'!$A$2:$A$99, 'Revenue Codes'!$B$2:$B$99, "")</f>
        <v>0</v>
      </c>
      <c r="P324" s="6">
        <f t="shared" si="5"/>
        <v>0</v>
      </c>
    </row>
    <row r="325" spans="3:16">
      <c r="C325" s="3">
        <f>_xlfn.XLOOKUP(B325, 'Revenue Codes'!$A$2:$A$99, 'Revenue Codes'!$B$2:$B$99, "")</f>
        <v>0</v>
      </c>
      <c r="P325" s="6">
        <f t="shared" si="5"/>
        <v>0</v>
      </c>
    </row>
    <row r="326" spans="3:16">
      <c r="C326" s="3">
        <f>_xlfn.XLOOKUP(B326, 'Revenue Codes'!$A$2:$A$99, 'Revenue Codes'!$B$2:$B$99, "")</f>
        <v>0</v>
      </c>
      <c r="P326" s="6">
        <f t="shared" si="5"/>
        <v>0</v>
      </c>
    </row>
    <row r="327" spans="3:16">
      <c r="C327" s="3">
        <f>_xlfn.XLOOKUP(B327, 'Revenue Codes'!$A$2:$A$99, 'Revenue Codes'!$B$2:$B$99, "")</f>
        <v>0</v>
      </c>
      <c r="P327" s="6">
        <f t="shared" si="5"/>
        <v>0</v>
      </c>
    </row>
    <row r="328" spans="3:16">
      <c r="C328" s="3">
        <f>_xlfn.XLOOKUP(B328, 'Revenue Codes'!$A$2:$A$99, 'Revenue Codes'!$B$2:$B$99, "")</f>
        <v>0</v>
      </c>
      <c r="P328" s="6">
        <f t="shared" si="5"/>
        <v>0</v>
      </c>
    </row>
    <row r="329" spans="3:16">
      <c r="C329" s="3">
        <f>_xlfn.XLOOKUP(B329, 'Revenue Codes'!$A$2:$A$99, 'Revenue Codes'!$B$2:$B$99, "")</f>
        <v>0</v>
      </c>
      <c r="P329" s="6">
        <f t="shared" si="5"/>
        <v>0</v>
      </c>
    </row>
    <row r="330" spans="3:16">
      <c r="C330" s="3">
        <f>_xlfn.XLOOKUP(B330, 'Revenue Codes'!$A$2:$A$99, 'Revenue Codes'!$B$2:$B$99, "")</f>
        <v>0</v>
      </c>
      <c r="P330" s="6">
        <f t="shared" si="5"/>
        <v>0</v>
      </c>
    </row>
    <row r="331" spans="3:16">
      <c r="C331" s="3">
        <f>_xlfn.XLOOKUP(B331, 'Revenue Codes'!$A$2:$A$99, 'Revenue Codes'!$B$2:$B$99, "")</f>
        <v>0</v>
      </c>
      <c r="P331" s="6">
        <f t="shared" si="5"/>
        <v>0</v>
      </c>
    </row>
    <row r="332" spans="3:16">
      <c r="C332" s="3">
        <f>_xlfn.XLOOKUP(B332, 'Revenue Codes'!$A$2:$A$99, 'Revenue Codes'!$B$2:$B$99, "")</f>
        <v>0</v>
      </c>
      <c r="P332" s="6">
        <f t="shared" si="5"/>
        <v>0</v>
      </c>
    </row>
    <row r="333" spans="3:16">
      <c r="C333" s="3">
        <f>_xlfn.XLOOKUP(B333, 'Revenue Codes'!$A$2:$A$99, 'Revenue Codes'!$B$2:$B$99, "")</f>
        <v>0</v>
      </c>
      <c r="P333" s="6">
        <f t="shared" si="5"/>
        <v>0</v>
      </c>
    </row>
    <row r="334" spans="3:16">
      <c r="C334" s="3">
        <f>_xlfn.XLOOKUP(B334, 'Revenue Codes'!$A$2:$A$99, 'Revenue Codes'!$B$2:$B$99, "")</f>
        <v>0</v>
      </c>
      <c r="P334" s="6">
        <f t="shared" si="5"/>
        <v>0</v>
      </c>
    </row>
    <row r="335" spans="3:16">
      <c r="C335" s="3">
        <f>_xlfn.XLOOKUP(B335, 'Revenue Codes'!$A$2:$A$99, 'Revenue Codes'!$B$2:$B$99, "")</f>
        <v>0</v>
      </c>
      <c r="P335" s="6">
        <f t="shared" si="5"/>
        <v>0</v>
      </c>
    </row>
    <row r="336" spans="3:16">
      <c r="C336" s="3">
        <f>_xlfn.XLOOKUP(B336, 'Revenue Codes'!$A$2:$A$99, 'Revenue Codes'!$B$2:$B$99, "")</f>
        <v>0</v>
      </c>
      <c r="P336" s="6">
        <f t="shared" si="5"/>
        <v>0</v>
      </c>
    </row>
    <row r="337" spans="3:16">
      <c r="C337" s="3">
        <f>_xlfn.XLOOKUP(B337, 'Revenue Codes'!$A$2:$A$99, 'Revenue Codes'!$B$2:$B$99, "")</f>
        <v>0</v>
      </c>
      <c r="P337" s="6">
        <f t="shared" si="5"/>
        <v>0</v>
      </c>
    </row>
    <row r="338" spans="3:16">
      <c r="C338" s="3">
        <f>_xlfn.XLOOKUP(B338, 'Revenue Codes'!$A$2:$A$99, 'Revenue Codes'!$B$2:$B$99, "")</f>
        <v>0</v>
      </c>
      <c r="P338" s="6">
        <f t="shared" si="5"/>
        <v>0</v>
      </c>
    </row>
    <row r="339" spans="3:16">
      <c r="C339" s="3">
        <f>_xlfn.XLOOKUP(B339, 'Revenue Codes'!$A$2:$A$99, 'Revenue Codes'!$B$2:$B$99, "")</f>
        <v>0</v>
      </c>
      <c r="P339" s="6">
        <f t="shared" si="5"/>
        <v>0</v>
      </c>
    </row>
    <row r="340" spans="3:16">
      <c r="C340" s="3">
        <f>_xlfn.XLOOKUP(B340, 'Revenue Codes'!$A$2:$A$99, 'Revenue Codes'!$B$2:$B$99, "")</f>
        <v>0</v>
      </c>
      <c r="P340" s="6">
        <f t="shared" si="5"/>
        <v>0</v>
      </c>
    </row>
    <row r="341" spans="3:16">
      <c r="C341" s="3">
        <f>_xlfn.XLOOKUP(B341, 'Revenue Codes'!$A$2:$A$99, 'Revenue Codes'!$B$2:$B$99, "")</f>
        <v>0</v>
      </c>
      <c r="P341" s="6">
        <f t="shared" si="5"/>
        <v>0</v>
      </c>
    </row>
    <row r="342" spans="3:16">
      <c r="C342" s="3">
        <f>_xlfn.XLOOKUP(B342, 'Revenue Codes'!$A$2:$A$99, 'Revenue Codes'!$B$2:$B$99, "")</f>
        <v>0</v>
      </c>
      <c r="P342" s="6">
        <f t="shared" si="5"/>
        <v>0</v>
      </c>
    </row>
    <row r="343" spans="3:16">
      <c r="C343" s="3">
        <f>_xlfn.XLOOKUP(B343, 'Revenue Codes'!$A$2:$A$99, 'Revenue Codes'!$B$2:$B$99, "")</f>
        <v>0</v>
      </c>
      <c r="P343" s="6">
        <f t="shared" si="5"/>
        <v>0</v>
      </c>
    </row>
    <row r="344" spans="3:16">
      <c r="C344" s="3">
        <f>_xlfn.XLOOKUP(B344, 'Revenue Codes'!$A$2:$A$99, 'Revenue Codes'!$B$2:$B$99, "")</f>
        <v>0</v>
      </c>
      <c r="P344" s="6">
        <f t="shared" si="5"/>
        <v>0</v>
      </c>
    </row>
    <row r="345" spans="3:16">
      <c r="C345" s="3">
        <f>_xlfn.XLOOKUP(B345, 'Revenue Codes'!$A$2:$A$99, 'Revenue Codes'!$B$2:$B$99, "")</f>
        <v>0</v>
      </c>
      <c r="P345" s="6">
        <f t="shared" si="5"/>
        <v>0</v>
      </c>
    </row>
    <row r="346" spans="3:16">
      <c r="C346" s="3">
        <f>_xlfn.XLOOKUP(B346, 'Revenue Codes'!$A$2:$A$99, 'Revenue Codes'!$B$2:$B$99, "")</f>
        <v>0</v>
      </c>
      <c r="P346" s="6">
        <f t="shared" si="5"/>
        <v>0</v>
      </c>
    </row>
    <row r="347" spans="3:16">
      <c r="C347" s="3">
        <f>_xlfn.XLOOKUP(B347, 'Revenue Codes'!$A$2:$A$99, 'Revenue Codes'!$B$2:$B$99, "")</f>
        <v>0</v>
      </c>
      <c r="P347" s="6">
        <f t="shared" si="5"/>
        <v>0</v>
      </c>
    </row>
    <row r="348" spans="3:16">
      <c r="C348" s="3">
        <f>_xlfn.XLOOKUP(B348, 'Revenue Codes'!$A$2:$A$99, 'Revenue Codes'!$B$2:$B$99, "")</f>
        <v>0</v>
      </c>
      <c r="P348" s="6">
        <f t="shared" si="5"/>
        <v>0</v>
      </c>
    </row>
    <row r="349" spans="3:16">
      <c r="C349" s="3">
        <f>_xlfn.XLOOKUP(B349, 'Revenue Codes'!$A$2:$A$99, 'Revenue Codes'!$B$2:$B$99, "")</f>
        <v>0</v>
      </c>
      <c r="P349" s="6">
        <f t="shared" si="5"/>
        <v>0</v>
      </c>
    </row>
    <row r="350" spans="3:16">
      <c r="C350" s="3">
        <f>_xlfn.XLOOKUP(B350, 'Revenue Codes'!$A$2:$A$99, 'Revenue Codes'!$B$2:$B$99, "")</f>
        <v>0</v>
      </c>
      <c r="P350" s="6">
        <f t="shared" si="5"/>
        <v>0</v>
      </c>
    </row>
    <row r="351" spans="3:16">
      <c r="C351" s="3">
        <f>_xlfn.XLOOKUP(B351, 'Revenue Codes'!$A$2:$A$99, 'Revenue Codes'!$B$2:$B$99, "")</f>
        <v>0</v>
      </c>
      <c r="P351" s="6">
        <f t="shared" si="5"/>
        <v>0</v>
      </c>
    </row>
    <row r="352" spans="3:16">
      <c r="C352" s="3">
        <f>_xlfn.XLOOKUP(B352, 'Revenue Codes'!$A$2:$A$99, 'Revenue Codes'!$B$2:$B$99, "")</f>
        <v>0</v>
      </c>
      <c r="P352" s="6">
        <f t="shared" si="5"/>
        <v>0</v>
      </c>
    </row>
    <row r="353" spans="3:16">
      <c r="C353" s="3">
        <f>_xlfn.XLOOKUP(B353, 'Revenue Codes'!$A$2:$A$99, 'Revenue Codes'!$B$2:$B$99, "")</f>
        <v>0</v>
      </c>
      <c r="P353" s="6">
        <f t="shared" si="5"/>
        <v>0</v>
      </c>
    </row>
    <row r="354" spans="3:16">
      <c r="C354" s="3">
        <f>_xlfn.XLOOKUP(B354, 'Revenue Codes'!$A$2:$A$99, 'Revenue Codes'!$B$2:$B$99, "")</f>
        <v>0</v>
      </c>
      <c r="P354" s="6">
        <f t="shared" si="5"/>
        <v>0</v>
      </c>
    </row>
    <row r="355" spans="3:16">
      <c r="C355" s="3">
        <f>_xlfn.XLOOKUP(B355, 'Revenue Codes'!$A$2:$A$99, 'Revenue Codes'!$B$2:$B$99, "")</f>
        <v>0</v>
      </c>
      <c r="P355" s="6">
        <f t="shared" si="5"/>
        <v>0</v>
      </c>
    </row>
    <row r="356" spans="3:16">
      <c r="C356" s="3">
        <f>_xlfn.XLOOKUP(B356, 'Revenue Codes'!$A$2:$A$99, 'Revenue Codes'!$B$2:$B$99, "")</f>
        <v>0</v>
      </c>
      <c r="P356" s="6">
        <f t="shared" si="5"/>
        <v>0</v>
      </c>
    </row>
    <row r="357" spans="3:16">
      <c r="C357" s="3">
        <f>_xlfn.XLOOKUP(B357, 'Revenue Codes'!$A$2:$A$99, 'Revenue Codes'!$B$2:$B$99, "")</f>
        <v>0</v>
      </c>
      <c r="P357" s="6">
        <f t="shared" si="5"/>
        <v>0</v>
      </c>
    </row>
    <row r="358" spans="3:16">
      <c r="C358" s="3">
        <f>_xlfn.XLOOKUP(B358, 'Revenue Codes'!$A$2:$A$99, 'Revenue Codes'!$B$2:$B$99, "")</f>
        <v>0</v>
      </c>
      <c r="P358" s="6">
        <f t="shared" si="5"/>
        <v>0</v>
      </c>
    </row>
    <row r="359" spans="3:16">
      <c r="C359" s="3">
        <f>_xlfn.XLOOKUP(B359, 'Revenue Codes'!$A$2:$A$99, 'Revenue Codes'!$B$2:$B$99, "")</f>
        <v>0</v>
      </c>
      <c r="P359" s="6">
        <f t="shared" si="5"/>
        <v>0</v>
      </c>
    </row>
    <row r="360" spans="3:16">
      <c r="C360" s="3">
        <f>_xlfn.XLOOKUP(B360, 'Revenue Codes'!$A$2:$A$99, 'Revenue Codes'!$B$2:$B$99, "")</f>
        <v>0</v>
      </c>
      <c r="P360" s="6">
        <f t="shared" si="5"/>
        <v>0</v>
      </c>
    </row>
    <row r="361" spans="3:16">
      <c r="C361" s="3">
        <f>_xlfn.XLOOKUP(B361, 'Revenue Codes'!$A$2:$A$99, 'Revenue Codes'!$B$2:$B$99, "")</f>
        <v>0</v>
      </c>
      <c r="P361" s="6">
        <f t="shared" si="5"/>
        <v>0</v>
      </c>
    </row>
    <row r="362" spans="3:16">
      <c r="C362" s="3">
        <f>_xlfn.XLOOKUP(B362, 'Revenue Codes'!$A$2:$A$99, 'Revenue Codes'!$B$2:$B$99, "")</f>
        <v>0</v>
      </c>
      <c r="P362" s="6">
        <f t="shared" si="5"/>
        <v>0</v>
      </c>
    </row>
    <row r="363" spans="3:16">
      <c r="C363" s="3">
        <f>_xlfn.XLOOKUP(B363, 'Revenue Codes'!$A$2:$A$99, 'Revenue Codes'!$B$2:$B$99, "")</f>
        <v>0</v>
      </c>
      <c r="P363" s="6">
        <f t="shared" si="5"/>
        <v>0</v>
      </c>
    </row>
    <row r="364" spans="3:16">
      <c r="C364" s="3">
        <f>_xlfn.XLOOKUP(B364, 'Revenue Codes'!$A$2:$A$99, 'Revenue Codes'!$B$2:$B$99, "")</f>
        <v>0</v>
      </c>
      <c r="P364" s="6">
        <f t="shared" si="5"/>
        <v>0</v>
      </c>
    </row>
    <row r="365" spans="3:16">
      <c r="C365" s="3">
        <f>_xlfn.XLOOKUP(B365, 'Revenue Codes'!$A$2:$A$99, 'Revenue Codes'!$B$2:$B$99, "")</f>
        <v>0</v>
      </c>
      <c r="P365" s="6">
        <f t="shared" si="5"/>
        <v>0</v>
      </c>
    </row>
    <row r="366" spans="3:16">
      <c r="C366" s="3">
        <f>_xlfn.XLOOKUP(B366, 'Revenue Codes'!$A$2:$A$99, 'Revenue Codes'!$B$2:$B$99, "")</f>
        <v>0</v>
      </c>
      <c r="P366" s="6">
        <f t="shared" si="5"/>
        <v>0</v>
      </c>
    </row>
    <row r="367" spans="3:16">
      <c r="C367" s="3">
        <f>_xlfn.XLOOKUP(B367, 'Revenue Codes'!$A$2:$A$99, 'Revenue Codes'!$B$2:$B$99, "")</f>
        <v>0</v>
      </c>
      <c r="P367" s="6">
        <f t="shared" si="5"/>
        <v>0</v>
      </c>
    </row>
    <row r="368" spans="3:16">
      <c r="C368" s="3">
        <f>_xlfn.XLOOKUP(B368, 'Revenue Codes'!$A$2:$A$99, 'Revenue Codes'!$B$2:$B$99, "")</f>
        <v>0</v>
      </c>
      <c r="P368" s="6">
        <f t="shared" si="5"/>
        <v>0</v>
      </c>
    </row>
    <row r="369" spans="3:16">
      <c r="C369" s="3">
        <f>_xlfn.XLOOKUP(B369, 'Revenue Codes'!$A$2:$A$99, 'Revenue Codes'!$B$2:$B$99, "")</f>
        <v>0</v>
      </c>
      <c r="P369" s="6">
        <f t="shared" si="5"/>
        <v>0</v>
      </c>
    </row>
    <row r="370" spans="3:16">
      <c r="C370" s="3">
        <f>_xlfn.XLOOKUP(B370, 'Revenue Codes'!$A$2:$A$99, 'Revenue Codes'!$B$2:$B$99, "")</f>
        <v>0</v>
      </c>
      <c r="P370" s="6">
        <f t="shared" si="5"/>
        <v>0</v>
      </c>
    </row>
    <row r="371" spans="3:16">
      <c r="C371" s="3">
        <f>_xlfn.XLOOKUP(B371, 'Revenue Codes'!$A$2:$A$99, 'Revenue Codes'!$B$2:$B$99, "")</f>
        <v>0</v>
      </c>
      <c r="P371" s="6">
        <f t="shared" si="5"/>
        <v>0</v>
      </c>
    </row>
    <row r="372" spans="3:16">
      <c r="C372" s="3">
        <f>_xlfn.XLOOKUP(B372, 'Revenue Codes'!$A$2:$A$99, 'Revenue Codes'!$B$2:$B$99, "")</f>
        <v>0</v>
      </c>
      <c r="P372" s="6">
        <f t="shared" si="5"/>
        <v>0</v>
      </c>
    </row>
    <row r="373" spans="3:16">
      <c r="C373" s="3">
        <f>_xlfn.XLOOKUP(B373, 'Revenue Codes'!$A$2:$A$99, 'Revenue Codes'!$B$2:$B$99, "")</f>
        <v>0</v>
      </c>
      <c r="P373" s="6">
        <f t="shared" si="5"/>
        <v>0</v>
      </c>
    </row>
    <row r="374" spans="3:16">
      <c r="C374" s="3">
        <f>_xlfn.XLOOKUP(B374, 'Revenue Codes'!$A$2:$A$99, 'Revenue Codes'!$B$2:$B$99, "")</f>
        <v>0</v>
      </c>
      <c r="P374" s="6">
        <f t="shared" si="5"/>
        <v>0</v>
      </c>
    </row>
    <row r="375" spans="3:16">
      <c r="C375" s="3">
        <f>_xlfn.XLOOKUP(B375, 'Revenue Codes'!$A$2:$A$99, 'Revenue Codes'!$B$2:$B$99, "")</f>
        <v>0</v>
      </c>
      <c r="P375" s="6">
        <f t="shared" si="5"/>
        <v>0</v>
      </c>
    </row>
    <row r="376" spans="3:16">
      <c r="C376" s="3">
        <f>_xlfn.XLOOKUP(B376, 'Revenue Codes'!$A$2:$A$99, 'Revenue Codes'!$B$2:$B$99, "")</f>
        <v>0</v>
      </c>
      <c r="P376" s="6">
        <f t="shared" si="5"/>
        <v>0</v>
      </c>
    </row>
    <row r="377" spans="3:16">
      <c r="C377" s="3">
        <f>_xlfn.XLOOKUP(B377, 'Revenue Codes'!$A$2:$A$99, 'Revenue Codes'!$B$2:$B$99, "")</f>
        <v>0</v>
      </c>
      <c r="P377" s="6">
        <f t="shared" si="5"/>
        <v>0</v>
      </c>
    </row>
    <row r="378" spans="3:16">
      <c r="C378" s="3">
        <f>_xlfn.XLOOKUP(B378, 'Revenue Codes'!$A$2:$A$99, 'Revenue Codes'!$B$2:$B$99, "")</f>
        <v>0</v>
      </c>
      <c r="P378" s="6">
        <f t="shared" si="5"/>
        <v>0</v>
      </c>
    </row>
    <row r="379" spans="3:16">
      <c r="C379" s="3">
        <f>_xlfn.XLOOKUP(B379, 'Revenue Codes'!$A$2:$A$99, 'Revenue Codes'!$B$2:$B$99, "")</f>
        <v>0</v>
      </c>
      <c r="P379" s="6">
        <f t="shared" si="5"/>
        <v>0</v>
      </c>
    </row>
    <row r="380" spans="3:16">
      <c r="C380" s="3">
        <f>_xlfn.XLOOKUP(B380, 'Revenue Codes'!$A$2:$A$99, 'Revenue Codes'!$B$2:$B$99, "")</f>
        <v>0</v>
      </c>
      <c r="P380" s="6">
        <f t="shared" si="5"/>
        <v>0</v>
      </c>
    </row>
    <row r="381" spans="3:16">
      <c r="C381" s="3">
        <f>_xlfn.XLOOKUP(B381, 'Revenue Codes'!$A$2:$A$99, 'Revenue Codes'!$B$2:$B$99, "")</f>
        <v>0</v>
      </c>
      <c r="P381" s="6">
        <f t="shared" si="5"/>
        <v>0</v>
      </c>
    </row>
    <row r="382" spans="3:16">
      <c r="C382" s="3">
        <f>_xlfn.XLOOKUP(B382, 'Revenue Codes'!$A$2:$A$99, 'Revenue Codes'!$B$2:$B$99, "")</f>
        <v>0</v>
      </c>
      <c r="P382" s="6">
        <f t="shared" si="5"/>
        <v>0</v>
      </c>
    </row>
    <row r="383" spans="3:16">
      <c r="C383" s="3">
        <f>_xlfn.XLOOKUP(B383, 'Revenue Codes'!$A$2:$A$99, 'Revenue Codes'!$B$2:$B$99, "")</f>
        <v>0</v>
      </c>
      <c r="P383" s="6">
        <f t="shared" si="5"/>
        <v>0</v>
      </c>
    </row>
    <row r="384" spans="3:16">
      <c r="C384" s="3">
        <f>_xlfn.XLOOKUP(B384, 'Revenue Codes'!$A$2:$A$99, 'Revenue Codes'!$B$2:$B$99, "")</f>
        <v>0</v>
      </c>
      <c r="P384" s="6">
        <f t="shared" si="5"/>
        <v>0</v>
      </c>
    </row>
    <row r="385" spans="3:16">
      <c r="C385" s="3">
        <f>_xlfn.XLOOKUP(B385, 'Revenue Codes'!$A$2:$A$99, 'Revenue Codes'!$B$2:$B$99, "")</f>
        <v>0</v>
      </c>
      <c r="P385" s="6">
        <f t="shared" si="5"/>
        <v>0</v>
      </c>
    </row>
    <row r="386" spans="3:16">
      <c r="C386" s="3">
        <f>_xlfn.XLOOKUP(B386, 'Revenue Codes'!$A$2:$A$99, 'Revenue Codes'!$B$2:$B$99, "")</f>
        <v>0</v>
      </c>
      <c r="P386" s="6">
        <f t="shared" ref="P386:P449" si="6">SUM(D386:O386)</f>
        <v>0</v>
      </c>
    </row>
    <row r="387" spans="3:16">
      <c r="C387" s="3">
        <f>_xlfn.XLOOKUP(B387, 'Revenue Codes'!$A$2:$A$99, 'Revenue Codes'!$B$2:$B$99, "")</f>
        <v>0</v>
      </c>
      <c r="P387" s="6">
        <f t="shared" si="6"/>
        <v>0</v>
      </c>
    </row>
    <row r="388" spans="3:16">
      <c r="C388" s="3">
        <f>_xlfn.XLOOKUP(B388, 'Revenue Codes'!$A$2:$A$99, 'Revenue Codes'!$B$2:$B$99, "")</f>
        <v>0</v>
      </c>
      <c r="P388" s="6">
        <f t="shared" si="6"/>
        <v>0</v>
      </c>
    </row>
    <row r="389" spans="3:16">
      <c r="C389" s="3">
        <f>_xlfn.XLOOKUP(B389, 'Revenue Codes'!$A$2:$A$99, 'Revenue Codes'!$B$2:$B$99, "")</f>
        <v>0</v>
      </c>
      <c r="P389" s="6">
        <f t="shared" si="6"/>
        <v>0</v>
      </c>
    </row>
    <row r="390" spans="3:16">
      <c r="C390" s="3">
        <f>_xlfn.XLOOKUP(B390, 'Revenue Codes'!$A$2:$A$99, 'Revenue Codes'!$B$2:$B$99, "")</f>
        <v>0</v>
      </c>
      <c r="P390" s="6">
        <f t="shared" si="6"/>
        <v>0</v>
      </c>
    </row>
    <row r="391" spans="3:16">
      <c r="C391" s="3">
        <f>_xlfn.XLOOKUP(B391, 'Revenue Codes'!$A$2:$A$99, 'Revenue Codes'!$B$2:$B$99, "")</f>
        <v>0</v>
      </c>
      <c r="P391" s="6">
        <f t="shared" si="6"/>
        <v>0</v>
      </c>
    </row>
    <row r="392" spans="3:16">
      <c r="C392" s="3">
        <f>_xlfn.XLOOKUP(B392, 'Revenue Codes'!$A$2:$A$99, 'Revenue Codes'!$B$2:$B$99, "")</f>
        <v>0</v>
      </c>
      <c r="P392" s="6">
        <f t="shared" si="6"/>
        <v>0</v>
      </c>
    </row>
    <row r="393" spans="3:16">
      <c r="C393" s="3">
        <f>_xlfn.XLOOKUP(B393, 'Revenue Codes'!$A$2:$A$99, 'Revenue Codes'!$B$2:$B$99, "")</f>
        <v>0</v>
      </c>
      <c r="P393" s="6">
        <f t="shared" si="6"/>
        <v>0</v>
      </c>
    </row>
    <row r="394" spans="3:16">
      <c r="C394" s="3">
        <f>_xlfn.XLOOKUP(B394, 'Revenue Codes'!$A$2:$A$99, 'Revenue Codes'!$B$2:$B$99, "")</f>
        <v>0</v>
      </c>
      <c r="P394" s="6">
        <f t="shared" si="6"/>
        <v>0</v>
      </c>
    </row>
    <row r="395" spans="3:16">
      <c r="C395" s="3">
        <f>_xlfn.XLOOKUP(B395, 'Revenue Codes'!$A$2:$A$99, 'Revenue Codes'!$B$2:$B$99, "")</f>
        <v>0</v>
      </c>
      <c r="P395" s="6">
        <f t="shared" si="6"/>
        <v>0</v>
      </c>
    </row>
    <row r="396" spans="3:16">
      <c r="C396" s="3">
        <f>_xlfn.XLOOKUP(B396, 'Revenue Codes'!$A$2:$A$99, 'Revenue Codes'!$B$2:$B$99, "")</f>
        <v>0</v>
      </c>
      <c r="P396" s="6">
        <f t="shared" si="6"/>
        <v>0</v>
      </c>
    </row>
    <row r="397" spans="3:16">
      <c r="C397" s="3">
        <f>_xlfn.XLOOKUP(B397, 'Revenue Codes'!$A$2:$A$99, 'Revenue Codes'!$B$2:$B$99, "")</f>
        <v>0</v>
      </c>
      <c r="P397" s="6">
        <f t="shared" si="6"/>
        <v>0</v>
      </c>
    </row>
    <row r="398" spans="3:16">
      <c r="C398" s="3">
        <f>_xlfn.XLOOKUP(B398, 'Revenue Codes'!$A$2:$A$99, 'Revenue Codes'!$B$2:$B$99, "")</f>
        <v>0</v>
      </c>
      <c r="P398" s="6">
        <f t="shared" si="6"/>
        <v>0</v>
      </c>
    </row>
    <row r="399" spans="3:16">
      <c r="C399" s="3">
        <f>_xlfn.XLOOKUP(B399, 'Revenue Codes'!$A$2:$A$99, 'Revenue Codes'!$B$2:$B$99, "")</f>
        <v>0</v>
      </c>
      <c r="P399" s="6">
        <f t="shared" si="6"/>
        <v>0</v>
      </c>
    </row>
    <row r="400" spans="3:16">
      <c r="C400" s="3">
        <f>_xlfn.XLOOKUP(B400, 'Revenue Codes'!$A$2:$A$99, 'Revenue Codes'!$B$2:$B$99, "")</f>
        <v>0</v>
      </c>
      <c r="P400" s="6">
        <f t="shared" si="6"/>
        <v>0</v>
      </c>
    </row>
    <row r="401" spans="3:16">
      <c r="C401" s="3">
        <f>_xlfn.XLOOKUP(B401, 'Revenue Codes'!$A$2:$A$99, 'Revenue Codes'!$B$2:$B$99, "")</f>
        <v>0</v>
      </c>
      <c r="P401" s="6">
        <f t="shared" si="6"/>
        <v>0</v>
      </c>
    </row>
    <row r="402" spans="3:16">
      <c r="C402" s="3">
        <f>_xlfn.XLOOKUP(B402, 'Revenue Codes'!$A$2:$A$99, 'Revenue Codes'!$B$2:$B$99, "")</f>
        <v>0</v>
      </c>
      <c r="P402" s="6">
        <f t="shared" si="6"/>
        <v>0</v>
      </c>
    </row>
    <row r="403" spans="3:16">
      <c r="C403" s="3">
        <f>_xlfn.XLOOKUP(B403, 'Revenue Codes'!$A$2:$A$99, 'Revenue Codes'!$B$2:$B$99, "")</f>
        <v>0</v>
      </c>
      <c r="P403" s="6">
        <f t="shared" si="6"/>
        <v>0</v>
      </c>
    </row>
    <row r="404" spans="3:16">
      <c r="C404" s="3">
        <f>_xlfn.XLOOKUP(B404, 'Revenue Codes'!$A$2:$A$99, 'Revenue Codes'!$B$2:$B$99, "")</f>
        <v>0</v>
      </c>
      <c r="P404" s="6">
        <f t="shared" si="6"/>
        <v>0</v>
      </c>
    </row>
    <row r="405" spans="3:16">
      <c r="C405" s="3">
        <f>_xlfn.XLOOKUP(B405, 'Revenue Codes'!$A$2:$A$99, 'Revenue Codes'!$B$2:$B$99, "")</f>
        <v>0</v>
      </c>
      <c r="P405" s="6">
        <f t="shared" si="6"/>
        <v>0</v>
      </c>
    </row>
    <row r="406" spans="3:16">
      <c r="C406" s="3">
        <f>_xlfn.XLOOKUP(B406, 'Revenue Codes'!$A$2:$A$99, 'Revenue Codes'!$B$2:$B$99, "")</f>
        <v>0</v>
      </c>
      <c r="P406" s="6">
        <f t="shared" si="6"/>
        <v>0</v>
      </c>
    </row>
    <row r="407" spans="3:16">
      <c r="C407" s="3">
        <f>_xlfn.XLOOKUP(B407, 'Revenue Codes'!$A$2:$A$99, 'Revenue Codes'!$B$2:$B$99, "")</f>
        <v>0</v>
      </c>
      <c r="P407" s="6">
        <f t="shared" si="6"/>
        <v>0</v>
      </c>
    </row>
    <row r="408" spans="3:16">
      <c r="C408" s="3">
        <f>_xlfn.XLOOKUP(B408, 'Revenue Codes'!$A$2:$A$99, 'Revenue Codes'!$B$2:$B$99, "")</f>
        <v>0</v>
      </c>
      <c r="P408" s="6">
        <f t="shared" si="6"/>
        <v>0</v>
      </c>
    </row>
    <row r="409" spans="3:16">
      <c r="C409" s="3">
        <f>_xlfn.XLOOKUP(B409, 'Revenue Codes'!$A$2:$A$99, 'Revenue Codes'!$B$2:$B$99, "")</f>
        <v>0</v>
      </c>
      <c r="P409" s="6">
        <f t="shared" si="6"/>
        <v>0</v>
      </c>
    </row>
    <row r="410" spans="3:16">
      <c r="C410" s="3">
        <f>_xlfn.XLOOKUP(B410, 'Revenue Codes'!$A$2:$A$99, 'Revenue Codes'!$B$2:$B$99, "")</f>
        <v>0</v>
      </c>
      <c r="P410" s="6">
        <f t="shared" si="6"/>
        <v>0</v>
      </c>
    </row>
    <row r="411" spans="3:16">
      <c r="C411" s="3">
        <f>_xlfn.XLOOKUP(B411, 'Revenue Codes'!$A$2:$A$99, 'Revenue Codes'!$B$2:$B$99, "")</f>
        <v>0</v>
      </c>
      <c r="P411" s="6">
        <f t="shared" si="6"/>
        <v>0</v>
      </c>
    </row>
    <row r="412" spans="3:16">
      <c r="C412" s="3">
        <f>_xlfn.XLOOKUP(B412, 'Revenue Codes'!$A$2:$A$99, 'Revenue Codes'!$B$2:$B$99, "")</f>
        <v>0</v>
      </c>
      <c r="P412" s="6">
        <f t="shared" si="6"/>
        <v>0</v>
      </c>
    </row>
    <row r="413" spans="3:16">
      <c r="C413" s="3">
        <f>_xlfn.XLOOKUP(B413, 'Revenue Codes'!$A$2:$A$99, 'Revenue Codes'!$B$2:$B$99, "")</f>
        <v>0</v>
      </c>
      <c r="P413" s="6">
        <f t="shared" si="6"/>
        <v>0</v>
      </c>
    </row>
    <row r="414" spans="3:16">
      <c r="C414" s="3">
        <f>_xlfn.XLOOKUP(B414, 'Revenue Codes'!$A$2:$A$99, 'Revenue Codes'!$B$2:$B$99, "")</f>
        <v>0</v>
      </c>
      <c r="P414" s="6">
        <f t="shared" si="6"/>
        <v>0</v>
      </c>
    </row>
    <row r="415" spans="3:16">
      <c r="C415" s="3">
        <f>_xlfn.XLOOKUP(B415, 'Revenue Codes'!$A$2:$A$99, 'Revenue Codes'!$B$2:$B$99, "")</f>
        <v>0</v>
      </c>
      <c r="P415" s="6">
        <f t="shared" si="6"/>
        <v>0</v>
      </c>
    </row>
    <row r="416" spans="3:16">
      <c r="C416" s="3">
        <f>_xlfn.XLOOKUP(B416, 'Revenue Codes'!$A$2:$A$99, 'Revenue Codes'!$B$2:$B$99, "")</f>
        <v>0</v>
      </c>
      <c r="P416" s="6">
        <f t="shared" si="6"/>
        <v>0</v>
      </c>
    </row>
    <row r="417" spans="3:16">
      <c r="C417" s="3">
        <f>_xlfn.XLOOKUP(B417, 'Revenue Codes'!$A$2:$A$99, 'Revenue Codes'!$B$2:$B$99, "")</f>
        <v>0</v>
      </c>
      <c r="P417" s="6">
        <f t="shared" si="6"/>
        <v>0</v>
      </c>
    </row>
    <row r="418" spans="3:16">
      <c r="C418" s="3">
        <f>_xlfn.XLOOKUP(B418, 'Revenue Codes'!$A$2:$A$99, 'Revenue Codes'!$B$2:$B$99, "")</f>
        <v>0</v>
      </c>
      <c r="P418" s="6">
        <f t="shared" si="6"/>
        <v>0</v>
      </c>
    </row>
    <row r="419" spans="3:16">
      <c r="C419" s="3">
        <f>_xlfn.XLOOKUP(B419, 'Revenue Codes'!$A$2:$A$99, 'Revenue Codes'!$B$2:$B$99, "")</f>
        <v>0</v>
      </c>
      <c r="P419" s="6">
        <f t="shared" si="6"/>
        <v>0</v>
      </c>
    </row>
    <row r="420" spans="3:16">
      <c r="C420" s="3">
        <f>_xlfn.XLOOKUP(B420, 'Revenue Codes'!$A$2:$A$99, 'Revenue Codes'!$B$2:$B$99, "")</f>
        <v>0</v>
      </c>
      <c r="P420" s="6">
        <f t="shared" si="6"/>
        <v>0</v>
      </c>
    </row>
    <row r="421" spans="3:16">
      <c r="C421" s="3">
        <f>_xlfn.XLOOKUP(B421, 'Revenue Codes'!$A$2:$A$99, 'Revenue Codes'!$B$2:$B$99, "")</f>
        <v>0</v>
      </c>
      <c r="P421" s="6">
        <f t="shared" si="6"/>
        <v>0</v>
      </c>
    </row>
    <row r="422" spans="3:16">
      <c r="C422" s="3">
        <f>_xlfn.XLOOKUP(B422, 'Revenue Codes'!$A$2:$A$99, 'Revenue Codes'!$B$2:$B$99, "")</f>
        <v>0</v>
      </c>
      <c r="P422" s="6">
        <f t="shared" si="6"/>
        <v>0</v>
      </c>
    </row>
    <row r="423" spans="3:16">
      <c r="C423" s="3">
        <f>_xlfn.XLOOKUP(B423, 'Revenue Codes'!$A$2:$A$99, 'Revenue Codes'!$B$2:$B$99, "")</f>
        <v>0</v>
      </c>
      <c r="P423" s="6">
        <f t="shared" si="6"/>
        <v>0</v>
      </c>
    </row>
    <row r="424" spans="3:16">
      <c r="C424" s="3">
        <f>_xlfn.XLOOKUP(B424, 'Revenue Codes'!$A$2:$A$99, 'Revenue Codes'!$B$2:$B$99, "")</f>
        <v>0</v>
      </c>
      <c r="P424" s="6">
        <f t="shared" si="6"/>
        <v>0</v>
      </c>
    </row>
    <row r="425" spans="3:16">
      <c r="C425" s="3">
        <f>_xlfn.XLOOKUP(B425, 'Revenue Codes'!$A$2:$A$99, 'Revenue Codes'!$B$2:$B$99, "")</f>
        <v>0</v>
      </c>
      <c r="P425" s="6">
        <f t="shared" si="6"/>
        <v>0</v>
      </c>
    </row>
    <row r="426" spans="3:16">
      <c r="C426" s="3">
        <f>_xlfn.XLOOKUP(B426, 'Revenue Codes'!$A$2:$A$99, 'Revenue Codes'!$B$2:$B$99, "")</f>
        <v>0</v>
      </c>
      <c r="P426" s="6">
        <f t="shared" si="6"/>
        <v>0</v>
      </c>
    </row>
    <row r="427" spans="3:16">
      <c r="C427" s="3">
        <f>_xlfn.XLOOKUP(B427, 'Revenue Codes'!$A$2:$A$99, 'Revenue Codes'!$B$2:$B$99, "")</f>
        <v>0</v>
      </c>
      <c r="P427" s="6">
        <f t="shared" si="6"/>
        <v>0</v>
      </c>
    </row>
    <row r="428" spans="3:16">
      <c r="C428" s="3">
        <f>_xlfn.XLOOKUP(B428, 'Revenue Codes'!$A$2:$A$99, 'Revenue Codes'!$B$2:$B$99, "")</f>
        <v>0</v>
      </c>
      <c r="P428" s="6">
        <f t="shared" si="6"/>
        <v>0</v>
      </c>
    </row>
    <row r="429" spans="3:16">
      <c r="C429" s="3">
        <f>_xlfn.XLOOKUP(B429, 'Revenue Codes'!$A$2:$A$99, 'Revenue Codes'!$B$2:$B$99, "")</f>
        <v>0</v>
      </c>
      <c r="P429" s="6">
        <f t="shared" si="6"/>
        <v>0</v>
      </c>
    </row>
    <row r="430" spans="3:16">
      <c r="C430" s="3">
        <f>_xlfn.XLOOKUP(B430, 'Revenue Codes'!$A$2:$A$99, 'Revenue Codes'!$B$2:$B$99, "")</f>
        <v>0</v>
      </c>
      <c r="P430" s="6">
        <f t="shared" si="6"/>
        <v>0</v>
      </c>
    </row>
    <row r="431" spans="3:16">
      <c r="C431" s="3">
        <f>_xlfn.XLOOKUP(B431, 'Revenue Codes'!$A$2:$A$99, 'Revenue Codes'!$B$2:$B$99, "")</f>
        <v>0</v>
      </c>
      <c r="P431" s="6">
        <f t="shared" si="6"/>
        <v>0</v>
      </c>
    </row>
    <row r="432" spans="3:16">
      <c r="C432" s="3">
        <f>_xlfn.XLOOKUP(B432, 'Revenue Codes'!$A$2:$A$99, 'Revenue Codes'!$B$2:$B$99, "")</f>
        <v>0</v>
      </c>
      <c r="P432" s="6">
        <f t="shared" si="6"/>
        <v>0</v>
      </c>
    </row>
    <row r="433" spans="3:16">
      <c r="C433" s="3">
        <f>_xlfn.XLOOKUP(B433, 'Revenue Codes'!$A$2:$A$99, 'Revenue Codes'!$B$2:$B$99, "")</f>
        <v>0</v>
      </c>
      <c r="P433" s="6">
        <f t="shared" si="6"/>
        <v>0</v>
      </c>
    </row>
    <row r="434" spans="3:16">
      <c r="C434" s="3">
        <f>_xlfn.XLOOKUP(B434, 'Revenue Codes'!$A$2:$A$99, 'Revenue Codes'!$B$2:$B$99, "")</f>
        <v>0</v>
      </c>
      <c r="P434" s="6">
        <f t="shared" si="6"/>
        <v>0</v>
      </c>
    </row>
    <row r="435" spans="3:16">
      <c r="C435" s="3">
        <f>_xlfn.XLOOKUP(B435, 'Revenue Codes'!$A$2:$A$99, 'Revenue Codes'!$B$2:$B$99, "")</f>
        <v>0</v>
      </c>
      <c r="P435" s="6">
        <f t="shared" si="6"/>
        <v>0</v>
      </c>
    </row>
    <row r="436" spans="3:16">
      <c r="C436" s="3">
        <f>_xlfn.XLOOKUP(B436, 'Revenue Codes'!$A$2:$A$99, 'Revenue Codes'!$B$2:$B$99, "")</f>
        <v>0</v>
      </c>
      <c r="P436" s="6">
        <f t="shared" si="6"/>
        <v>0</v>
      </c>
    </row>
    <row r="437" spans="3:16">
      <c r="C437" s="3">
        <f>_xlfn.XLOOKUP(B437, 'Revenue Codes'!$A$2:$A$99, 'Revenue Codes'!$B$2:$B$99, "")</f>
        <v>0</v>
      </c>
      <c r="P437" s="6">
        <f t="shared" si="6"/>
        <v>0</v>
      </c>
    </row>
    <row r="438" spans="3:16">
      <c r="C438" s="3">
        <f>_xlfn.XLOOKUP(B438, 'Revenue Codes'!$A$2:$A$99, 'Revenue Codes'!$B$2:$B$99, "")</f>
        <v>0</v>
      </c>
      <c r="P438" s="6">
        <f t="shared" si="6"/>
        <v>0</v>
      </c>
    </row>
    <row r="439" spans="3:16">
      <c r="C439" s="3">
        <f>_xlfn.XLOOKUP(B439, 'Revenue Codes'!$A$2:$A$99, 'Revenue Codes'!$B$2:$B$99, "")</f>
        <v>0</v>
      </c>
      <c r="P439" s="6">
        <f t="shared" si="6"/>
        <v>0</v>
      </c>
    </row>
    <row r="440" spans="3:16">
      <c r="C440" s="3">
        <f>_xlfn.XLOOKUP(B440, 'Revenue Codes'!$A$2:$A$99, 'Revenue Codes'!$B$2:$B$99, "")</f>
        <v>0</v>
      </c>
      <c r="P440" s="6">
        <f t="shared" si="6"/>
        <v>0</v>
      </c>
    </row>
    <row r="441" spans="3:16">
      <c r="C441" s="3">
        <f>_xlfn.XLOOKUP(B441, 'Revenue Codes'!$A$2:$A$99, 'Revenue Codes'!$B$2:$B$99, "")</f>
        <v>0</v>
      </c>
      <c r="P441" s="6">
        <f t="shared" si="6"/>
        <v>0</v>
      </c>
    </row>
    <row r="442" spans="3:16">
      <c r="C442" s="3">
        <f>_xlfn.XLOOKUP(B442, 'Revenue Codes'!$A$2:$A$99, 'Revenue Codes'!$B$2:$B$99, "")</f>
        <v>0</v>
      </c>
      <c r="P442" s="6">
        <f t="shared" si="6"/>
        <v>0</v>
      </c>
    </row>
    <row r="443" spans="3:16">
      <c r="C443" s="3">
        <f>_xlfn.XLOOKUP(B443, 'Revenue Codes'!$A$2:$A$99, 'Revenue Codes'!$B$2:$B$99, "")</f>
        <v>0</v>
      </c>
      <c r="P443" s="6">
        <f t="shared" si="6"/>
        <v>0</v>
      </c>
    </row>
    <row r="444" spans="3:16">
      <c r="C444" s="3">
        <f>_xlfn.XLOOKUP(B444, 'Revenue Codes'!$A$2:$A$99, 'Revenue Codes'!$B$2:$B$99, "")</f>
        <v>0</v>
      </c>
      <c r="P444" s="6">
        <f t="shared" si="6"/>
        <v>0</v>
      </c>
    </row>
    <row r="445" spans="3:16">
      <c r="C445" s="3">
        <f>_xlfn.XLOOKUP(B445, 'Revenue Codes'!$A$2:$A$99, 'Revenue Codes'!$B$2:$B$99, "")</f>
        <v>0</v>
      </c>
      <c r="P445" s="6">
        <f t="shared" si="6"/>
        <v>0</v>
      </c>
    </row>
    <row r="446" spans="3:16">
      <c r="C446" s="3">
        <f>_xlfn.XLOOKUP(B446, 'Revenue Codes'!$A$2:$A$99, 'Revenue Codes'!$B$2:$B$99, "")</f>
        <v>0</v>
      </c>
      <c r="P446" s="6">
        <f t="shared" si="6"/>
        <v>0</v>
      </c>
    </row>
    <row r="447" spans="3:16">
      <c r="C447" s="3">
        <f>_xlfn.XLOOKUP(B447, 'Revenue Codes'!$A$2:$A$99, 'Revenue Codes'!$B$2:$B$99, "")</f>
        <v>0</v>
      </c>
      <c r="P447" s="6">
        <f t="shared" si="6"/>
        <v>0</v>
      </c>
    </row>
    <row r="448" spans="3:16">
      <c r="C448" s="3">
        <f>_xlfn.XLOOKUP(B448, 'Revenue Codes'!$A$2:$A$99, 'Revenue Codes'!$B$2:$B$99, "")</f>
        <v>0</v>
      </c>
      <c r="P448" s="6">
        <f t="shared" si="6"/>
        <v>0</v>
      </c>
    </row>
    <row r="449" spans="3:16">
      <c r="C449" s="3">
        <f>_xlfn.XLOOKUP(B449, 'Revenue Codes'!$A$2:$A$99, 'Revenue Codes'!$B$2:$B$99, "")</f>
        <v>0</v>
      </c>
      <c r="P449" s="6">
        <f t="shared" si="6"/>
        <v>0</v>
      </c>
    </row>
    <row r="450" spans="3:16">
      <c r="C450" s="3">
        <f>_xlfn.XLOOKUP(B450, 'Revenue Codes'!$A$2:$A$99, 'Revenue Codes'!$B$2:$B$99, "")</f>
        <v>0</v>
      </c>
      <c r="P450" s="6">
        <f t="shared" ref="P450:P513" si="7">SUM(D450:O450)</f>
        <v>0</v>
      </c>
    </row>
    <row r="451" spans="3:16">
      <c r="C451" s="3">
        <f>_xlfn.XLOOKUP(B451, 'Revenue Codes'!$A$2:$A$99, 'Revenue Codes'!$B$2:$B$99, "")</f>
        <v>0</v>
      </c>
      <c r="P451" s="6">
        <f t="shared" si="7"/>
        <v>0</v>
      </c>
    </row>
    <row r="452" spans="3:16">
      <c r="C452" s="3">
        <f>_xlfn.XLOOKUP(B452, 'Revenue Codes'!$A$2:$A$99, 'Revenue Codes'!$B$2:$B$99, "")</f>
        <v>0</v>
      </c>
      <c r="P452" s="6">
        <f t="shared" si="7"/>
        <v>0</v>
      </c>
    </row>
    <row r="453" spans="3:16">
      <c r="C453" s="3">
        <f>_xlfn.XLOOKUP(B453, 'Revenue Codes'!$A$2:$A$99, 'Revenue Codes'!$B$2:$B$99, "")</f>
        <v>0</v>
      </c>
      <c r="P453" s="6">
        <f t="shared" si="7"/>
        <v>0</v>
      </c>
    </row>
    <row r="454" spans="3:16">
      <c r="C454" s="3">
        <f>_xlfn.XLOOKUP(B454, 'Revenue Codes'!$A$2:$A$99, 'Revenue Codes'!$B$2:$B$99, "")</f>
        <v>0</v>
      </c>
      <c r="P454" s="6">
        <f t="shared" si="7"/>
        <v>0</v>
      </c>
    </row>
    <row r="455" spans="3:16">
      <c r="C455" s="3">
        <f>_xlfn.XLOOKUP(B455, 'Revenue Codes'!$A$2:$A$99, 'Revenue Codes'!$B$2:$B$99, "")</f>
        <v>0</v>
      </c>
      <c r="P455" s="6">
        <f t="shared" si="7"/>
        <v>0</v>
      </c>
    </row>
    <row r="456" spans="3:16">
      <c r="C456" s="3">
        <f>_xlfn.XLOOKUP(B456, 'Revenue Codes'!$A$2:$A$99, 'Revenue Codes'!$B$2:$B$99, "")</f>
        <v>0</v>
      </c>
      <c r="P456" s="6">
        <f t="shared" si="7"/>
        <v>0</v>
      </c>
    </row>
    <row r="457" spans="3:16">
      <c r="C457" s="3">
        <f>_xlfn.XLOOKUP(B457, 'Revenue Codes'!$A$2:$A$99, 'Revenue Codes'!$B$2:$B$99, "")</f>
        <v>0</v>
      </c>
      <c r="P457" s="6">
        <f t="shared" si="7"/>
        <v>0</v>
      </c>
    </row>
    <row r="458" spans="3:16">
      <c r="C458" s="3">
        <f>_xlfn.XLOOKUP(B458, 'Revenue Codes'!$A$2:$A$99, 'Revenue Codes'!$B$2:$B$99, "")</f>
        <v>0</v>
      </c>
      <c r="P458" s="6">
        <f t="shared" si="7"/>
        <v>0</v>
      </c>
    </row>
    <row r="459" spans="3:16">
      <c r="C459" s="3">
        <f>_xlfn.XLOOKUP(B459, 'Revenue Codes'!$A$2:$A$99, 'Revenue Codes'!$B$2:$B$99, "")</f>
        <v>0</v>
      </c>
      <c r="P459" s="6">
        <f t="shared" si="7"/>
        <v>0</v>
      </c>
    </row>
    <row r="460" spans="3:16">
      <c r="C460" s="3">
        <f>_xlfn.XLOOKUP(B460, 'Revenue Codes'!$A$2:$A$99, 'Revenue Codes'!$B$2:$B$99, "")</f>
        <v>0</v>
      </c>
      <c r="P460" s="6">
        <f t="shared" si="7"/>
        <v>0</v>
      </c>
    </row>
    <row r="461" spans="3:16">
      <c r="C461" s="3">
        <f>_xlfn.XLOOKUP(B461, 'Revenue Codes'!$A$2:$A$99, 'Revenue Codes'!$B$2:$B$99, "")</f>
        <v>0</v>
      </c>
      <c r="P461" s="6">
        <f t="shared" si="7"/>
        <v>0</v>
      </c>
    </row>
    <row r="462" spans="3:16">
      <c r="C462" s="3">
        <f>_xlfn.XLOOKUP(B462, 'Revenue Codes'!$A$2:$A$99, 'Revenue Codes'!$B$2:$B$99, "")</f>
        <v>0</v>
      </c>
      <c r="P462" s="6">
        <f t="shared" si="7"/>
        <v>0</v>
      </c>
    </row>
    <row r="463" spans="3:16">
      <c r="C463" s="3">
        <f>_xlfn.XLOOKUP(B463, 'Revenue Codes'!$A$2:$A$99, 'Revenue Codes'!$B$2:$B$99, "")</f>
        <v>0</v>
      </c>
      <c r="P463" s="6">
        <f t="shared" si="7"/>
        <v>0</v>
      </c>
    </row>
    <row r="464" spans="3:16">
      <c r="C464" s="3">
        <f>_xlfn.XLOOKUP(B464, 'Revenue Codes'!$A$2:$A$99, 'Revenue Codes'!$B$2:$B$99, "")</f>
        <v>0</v>
      </c>
      <c r="P464" s="6">
        <f t="shared" si="7"/>
        <v>0</v>
      </c>
    </row>
    <row r="465" spans="3:16">
      <c r="C465" s="3">
        <f>_xlfn.XLOOKUP(B465, 'Revenue Codes'!$A$2:$A$99, 'Revenue Codes'!$B$2:$B$99, "")</f>
        <v>0</v>
      </c>
      <c r="P465" s="6">
        <f t="shared" si="7"/>
        <v>0</v>
      </c>
    </row>
    <row r="466" spans="3:16">
      <c r="C466" s="3">
        <f>_xlfn.XLOOKUP(B466, 'Revenue Codes'!$A$2:$A$99, 'Revenue Codes'!$B$2:$B$99, "")</f>
        <v>0</v>
      </c>
      <c r="P466" s="6">
        <f t="shared" si="7"/>
        <v>0</v>
      </c>
    </row>
    <row r="467" spans="3:16">
      <c r="C467" s="3">
        <f>_xlfn.XLOOKUP(B467, 'Revenue Codes'!$A$2:$A$99, 'Revenue Codes'!$B$2:$B$99, "")</f>
        <v>0</v>
      </c>
      <c r="P467" s="6">
        <f t="shared" si="7"/>
        <v>0</v>
      </c>
    </row>
    <row r="468" spans="3:16">
      <c r="C468" s="3">
        <f>_xlfn.XLOOKUP(B468, 'Revenue Codes'!$A$2:$A$99, 'Revenue Codes'!$B$2:$B$99, "")</f>
        <v>0</v>
      </c>
      <c r="P468" s="6">
        <f t="shared" si="7"/>
        <v>0</v>
      </c>
    </row>
    <row r="469" spans="3:16">
      <c r="C469" s="3">
        <f>_xlfn.XLOOKUP(B469, 'Revenue Codes'!$A$2:$A$99, 'Revenue Codes'!$B$2:$B$99, "")</f>
        <v>0</v>
      </c>
      <c r="P469" s="6">
        <f t="shared" si="7"/>
        <v>0</v>
      </c>
    </row>
    <row r="470" spans="3:16">
      <c r="C470" s="3">
        <f>_xlfn.XLOOKUP(B470, 'Revenue Codes'!$A$2:$A$99, 'Revenue Codes'!$B$2:$B$99, "")</f>
        <v>0</v>
      </c>
      <c r="P470" s="6">
        <f t="shared" si="7"/>
        <v>0</v>
      </c>
    </row>
    <row r="471" spans="3:16">
      <c r="C471" s="3">
        <f>_xlfn.XLOOKUP(B471, 'Revenue Codes'!$A$2:$A$99, 'Revenue Codes'!$B$2:$B$99, "")</f>
        <v>0</v>
      </c>
      <c r="P471" s="6">
        <f t="shared" si="7"/>
        <v>0</v>
      </c>
    </row>
    <row r="472" spans="3:16">
      <c r="C472" s="3">
        <f>_xlfn.XLOOKUP(B472, 'Revenue Codes'!$A$2:$A$99, 'Revenue Codes'!$B$2:$B$99, "")</f>
        <v>0</v>
      </c>
      <c r="P472" s="6">
        <f t="shared" si="7"/>
        <v>0</v>
      </c>
    </row>
    <row r="473" spans="3:16">
      <c r="C473" s="3">
        <f>_xlfn.XLOOKUP(B473, 'Revenue Codes'!$A$2:$A$99, 'Revenue Codes'!$B$2:$B$99, "")</f>
        <v>0</v>
      </c>
      <c r="P473" s="6">
        <f t="shared" si="7"/>
        <v>0</v>
      </c>
    </row>
    <row r="474" spans="3:16">
      <c r="C474" s="3">
        <f>_xlfn.XLOOKUP(B474, 'Revenue Codes'!$A$2:$A$99, 'Revenue Codes'!$B$2:$B$99, "")</f>
        <v>0</v>
      </c>
      <c r="P474" s="6">
        <f t="shared" si="7"/>
        <v>0</v>
      </c>
    </row>
    <row r="475" spans="3:16">
      <c r="C475" s="3">
        <f>_xlfn.XLOOKUP(B475, 'Revenue Codes'!$A$2:$A$99, 'Revenue Codes'!$B$2:$B$99, "")</f>
        <v>0</v>
      </c>
      <c r="P475" s="6">
        <f t="shared" si="7"/>
        <v>0</v>
      </c>
    </row>
    <row r="476" spans="3:16">
      <c r="C476" s="3">
        <f>_xlfn.XLOOKUP(B476, 'Revenue Codes'!$A$2:$A$99, 'Revenue Codes'!$B$2:$B$99, "")</f>
        <v>0</v>
      </c>
      <c r="P476" s="6">
        <f t="shared" si="7"/>
        <v>0</v>
      </c>
    </row>
    <row r="477" spans="3:16">
      <c r="C477" s="3">
        <f>_xlfn.XLOOKUP(B477, 'Revenue Codes'!$A$2:$A$99, 'Revenue Codes'!$B$2:$B$99, "")</f>
        <v>0</v>
      </c>
      <c r="P477" s="6">
        <f t="shared" si="7"/>
        <v>0</v>
      </c>
    </row>
    <row r="478" spans="3:16">
      <c r="C478" s="3">
        <f>_xlfn.XLOOKUP(B478, 'Revenue Codes'!$A$2:$A$99, 'Revenue Codes'!$B$2:$B$99, "")</f>
        <v>0</v>
      </c>
      <c r="P478" s="6">
        <f t="shared" si="7"/>
        <v>0</v>
      </c>
    </row>
    <row r="479" spans="3:16">
      <c r="C479" s="3">
        <f>_xlfn.XLOOKUP(B479, 'Revenue Codes'!$A$2:$A$99, 'Revenue Codes'!$B$2:$B$99, "")</f>
        <v>0</v>
      </c>
      <c r="P479" s="6">
        <f t="shared" si="7"/>
        <v>0</v>
      </c>
    </row>
    <row r="480" spans="3:16">
      <c r="C480" s="3">
        <f>_xlfn.XLOOKUP(B480, 'Revenue Codes'!$A$2:$A$99, 'Revenue Codes'!$B$2:$B$99, "")</f>
        <v>0</v>
      </c>
      <c r="P480" s="6">
        <f t="shared" si="7"/>
        <v>0</v>
      </c>
    </row>
    <row r="481" spans="3:16">
      <c r="C481" s="3">
        <f>_xlfn.XLOOKUP(B481, 'Revenue Codes'!$A$2:$A$99, 'Revenue Codes'!$B$2:$B$99, "")</f>
        <v>0</v>
      </c>
      <c r="P481" s="6">
        <f t="shared" si="7"/>
        <v>0</v>
      </c>
    </row>
    <row r="482" spans="3:16">
      <c r="C482" s="3">
        <f>_xlfn.XLOOKUP(B482, 'Revenue Codes'!$A$2:$A$99, 'Revenue Codes'!$B$2:$B$99, "")</f>
        <v>0</v>
      </c>
      <c r="P482" s="6">
        <f t="shared" si="7"/>
        <v>0</v>
      </c>
    </row>
    <row r="483" spans="3:16">
      <c r="C483" s="3">
        <f>_xlfn.XLOOKUP(B483, 'Revenue Codes'!$A$2:$A$99, 'Revenue Codes'!$B$2:$B$99, "")</f>
        <v>0</v>
      </c>
      <c r="P483" s="6">
        <f t="shared" si="7"/>
        <v>0</v>
      </c>
    </row>
    <row r="484" spans="3:16">
      <c r="C484" s="3">
        <f>_xlfn.XLOOKUP(B484, 'Revenue Codes'!$A$2:$A$99, 'Revenue Codes'!$B$2:$B$99, "")</f>
        <v>0</v>
      </c>
      <c r="P484" s="6">
        <f t="shared" si="7"/>
        <v>0</v>
      </c>
    </row>
    <row r="485" spans="3:16">
      <c r="C485" s="3">
        <f>_xlfn.XLOOKUP(B485, 'Revenue Codes'!$A$2:$A$99, 'Revenue Codes'!$B$2:$B$99, "")</f>
        <v>0</v>
      </c>
      <c r="P485" s="6">
        <f t="shared" si="7"/>
        <v>0</v>
      </c>
    </row>
    <row r="486" spans="3:16">
      <c r="C486" s="3">
        <f>_xlfn.XLOOKUP(B486, 'Revenue Codes'!$A$2:$A$99, 'Revenue Codes'!$B$2:$B$99, "")</f>
        <v>0</v>
      </c>
      <c r="P486" s="6">
        <f t="shared" si="7"/>
        <v>0</v>
      </c>
    </row>
    <row r="487" spans="3:16">
      <c r="C487" s="3">
        <f>_xlfn.XLOOKUP(B487, 'Revenue Codes'!$A$2:$A$99, 'Revenue Codes'!$B$2:$B$99, "")</f>
        <v>0</v>
      </c>
      <c r="P487" s="6">
        <f t="shared" si="7"/>
        <v>0</v>
      </c>
    </row>
    <row r="488" spans="3:16">
      <c r="C488" s="3">
        <f>_xlfn.XLOOKUP(B488, 'Revenue Codes'!$A$2:$A$99, 'Revenue Codes'!$B$2:$B$99, "")</f>
        <v>0</v>
      </c>
      <c r="P488" s="6">
        <f t="shared" si="7"/>
        <v>0</v>
      </c>
    </row>
    <row r="489" spans="3:16">
      <c r="C489" s="3">
        <f>_xlfn.XLOOKUP(B489, 'Revenue Codes'!$A$2:$A$99, 'Revenue Codes'!$B$2:$B$99, "")</f>
        <v>0</v>
      </c>
      <c r="P489" s="6">
        <f t="shared" si="7"/>
        <v>0</v>
      </c>
    </row>
    <row r="490" spans="3:16">
      <c r="C490" s="3">
        <f>_xlfn.XLOOKUP(B490, 'Revenue Codes'!$A$2:$A$99, 'Revenue Codes'!$B$2:$B$99, "")</f>
        <v>0</v>
      </c>
      <c r="P490" s="6">
        <f t="shared" si="7"/>
        <v>0</v>
      </c>
    </row>
    <row r="491" spans="3:16">
      <c r="C491" s="3">
        <f>_xlfn.XLOOKUP(B491, 'Revenue Codes'!$A$2:$A$99, 'Revenue Codes'!$B$2:$B$99, "")</f>
        <v>0</v>
      </c>
      <c r="P491" s="6">
        <f t="shared" si="7"/>
        <v>0</v>
      </c>
    </row>
    <row r="492" spans="3:16">
      <c r="C492" s="3">
        <f>_xlfn.XLOOKUP(B492, 'Revenue Codes'!$A$2:$A$99, 'Revenue Codes'!$B$2:$B$99, "")</f>
        <v>0</v>
      </c>
      <c r="P492" s="6">
        <f t="shared" si="7"/>
        <v>0</v>
      </c>
    </row>
    <row r="493" spans="3:16">
      <c r="C493" s="3">
        <f>_xlfn.XLOOKUP(B493, 'Revenue Codes'!$A$2:$A$99, 'Revenue Codes'!$B$2:$B$99, "")</f>
        <v>0</v>
      </c>
      <c r="P493" s="6">
        <f t="shared" si="7"/>
        <v>0</v>
      </c>
    </row>
    <row r="494" spans="3:16">
      <c r="C494" s="3">
        <f>_xlfn.XLOOKUP(B494, 'Revenue Codes'!$A$2:$A$99, 'Revenue Codes'!$B$2:$B$99, "")</f>
        <v>0</v>
      </c>
      <c r="P494" s="6">
        <f t="shared" si="7"/>
        <v>0</v>
      </c>
    </row>
    <row r="495" spans="3:16">
      <c r="C495" s="3">
        <f>_xlfn.XLOOKUP(B495, 'Revenue Codes'!$A$2:$A$99, 'Revenue Codes'!$B$2:$B$99, "")</f>
        <v>0</v>
      </c>
      <c r="P495" s="6">
        <f t="shared" si="7"/>
        <v>0</v>
      </c>
    </row>
    <row r="496" spans="3:16">
      <c r="C496" s="3">
        <f>_xlfn.XLOOKUP(B496, 'Revenue Codes'!$A$2:$A$99, 'Revenue Codes'!$B$2:$B$99, "")</f>
        <v>0</v>
      </c>
      <c r="P496" s="6">
        <f t="shared" si="7"/>
        <v>0</v>
      </c>
    </row>
    <row r="497" spans="3:16">
      <c r="C497" s="3">
        <f>_xlfn.XLOOKUP(B497, 'Revenue Codes'!$A$2:$A$99, 'Revenue Codes'!$B$2:$B$99, "")</f>
        <v>0</v>
      </c>
      <c r="P497" s="6">
        <f t="shared" si="7"/>
        <v>0</v>
      </c>
    </row>
    <row r="498" spans="3:16">
      <c r="C498" s="3">
        <f>_xlfn.XLOOKUP(B498, 'Revenue Codes'!$A$2:$A$99, 'Revenue Codes'!$B$2:$B$99, "")</f>
        <v>0</v>
      </c>
      <c r="P498" s="6">
        <f t="shared" si="7"/>
        <v>0</v>
      </c>
    </row>
    <row r="499" spans="3:16">
      <c r="C499" s="3">
        <f>_xlfn.XLOOKUP(B499, 'Revenue Codes'!$A$2:$A$99, 'Revenue Codes'!$B$2:$B$99, "")</f>
        <v>0</v>
      </c>
      <c r="P499" s="6">
        <f t="shared" si="7"/>
        <v>0</v>
      </c>
    </row>
    <row r="500" spans="3:16">
      <c r="C500" s="3">
        <f>_xlfn.XLOOKUP(B500, 'Revenue Codes'!$A$2:$A$99, 'Revenue Codes'!$B$2:$B$99, "")</f>
        <v>0</v>
      </c>
      <c r="P500" s="6">
        <f t="shared" si="7"/>
        <v>0</v>
      </c>
    </row>
    <row r="501" spans="3:16">
      <c r="C501" s="3">
        <f>_xlfn.XLOOKUP(B501, 'Revenue Codes'!$A$2:$A$99, 'Revenue Codes'!$B$2:$B$99, "")</f>
        <v>0</v>
      </c>
      <c r="P501" s="6">
        <f t="shared" si="7"/>
        <v>0</v>
      </c>
    </row>
    <row r="502" spans="3:16">
      <c r="C502" s="3">
        <f>_xlfn.XLOOKUP(B502, 'Revenue Codes'!$A$2:$A$99, 'Revenue Codes'!$B$2:$B$99, "")</f>
        <v>0</v>
      </c>
      <c r="P502" s="6">
        <f t="shared" si="7"/>
        <v>0</v>
      </c>
    </row>
    <row r="503" spans="3:16">
      <c r="C503" s="3">
        <f>_xlfn.XLOOKUP(B503, 'Revenue Codes'!$A$2:$A$99, 'Revenue Codes'!$B$2:$B$99, "")</f>
        <v>0</v>
      </c>
      <c r="P503" s="6">
        <f t="shared" si="7"/>
        <v>0</v>
      </c>
    </row>
    <row r="504" spans="3:16">
      <c r="C504" s="3">
        <f>_xlfn.XLOOKUP(B504, 'Revenue Codes'!$A$2:$A$99, 'Revenue Codes'!$B$2:$B$99, "")</f>
        <v>0</v>
      </c>
      <c r="P504" s="6">
        <f t="shared" si="7"/>
        <v>0</v>
      </c>
    </row>
    <row r="505" spans="3:16">
      <c r="C505" s="3">
        <f>_xlfn.XLOOKUP(B505, 'Revenue Codes'!$A$2:$A$99, 'Revenue Codes'!$B$2:$B$99, "")</f>
        <v>0</v>
      </c>
      <c r="P505" s="6">
        <f t="shared" si="7"/>
        <v>0</v>
      </c>
    </row>
    <row r="506" spans="3:16">
      <c r="C506" s="3">
        <f>_xlfn.XLOOKUP(B506, 'Revenue Codes'!$A$2:$A$99, 'Revenue Codes'!$B$2:$B$99, "")</f>
        <v>0</v>
      </c>
      <c r="P506" s="6">
        <f t="shared" si="7"/>
        <v>0</v>
      </c>
    </row>
    <row r="507" spans="3:16">
      <c r="C507" s="3">
        <f>_xlfn.XLOOKUP(B507, 'Revenue Codes'!$A$2:$A$99, 'Revenue Codes'!$B$2:$B$99, "")</f>
        <v>0</v>
      </c>
      <c r="P507" s="6">
        <f t="shared" si="7"/>
        <v>0</v>
      </c>
    </row>
    <row r="508" spans="3:16">
      <c r="C508" s="3">
        <f>_xlfn.XLOOKUP(B508, 'Revenue Codes'!$A$2:$A$99, 'Revenue Codes'!$B$2:$B$99, "")</f>
        <v>0</v>
      </c>
      <c r="P508" s="6">
        <f t="shared" si="7"/>
        <v>0</v>
      </c>
    </row>
    <row r="509" spans="3:16">
      <c r="C509" s="3">
        <f>_xlfn.XLOOKUP(B509, 'Revenue Codes'!$A$2:$A$99, 'Revenue Codes'!$B$2:$B$99, "")</f>
        <v>0</v>
      </c>
      <c r="P509" s="6">
        <f t="shared" si="7"/>
        <v>0</v>
      </c>
    </row>
    <row r="510" spans="3:16">
      <c r="C510" s="3">
        <f>_xlfn.XLOOKUP(B510, 'Revenue Codes'!$A$2:$A$99, 'Revenue Codes'!$B$2:$B$99, "")</f>
        <v>0</v>
      </c>
      <c r="P510" s="6">
        <f t="shared" si="7"/>
        <v>0</v>
      </c>
    </row>
    <row r="511" spans="3:16">
      <c r="C511" s="3">
        <f>_xlfn.XLOOKUP(B511, 'Revenue Codes'!$A$2:$A$99, 'Revenue Codes'!$B$2:$B$99, "")</f>
        <v>0</v>
      </c>
      <c r="P511" s="6">
        <f t="shared" si="7"/>
        <v>0</v>
      </c>
    </row>
    <row r="512" spans="3:16">
      <c r="C512" s="3">
        <f>_xlfn.XLOOKUP(B512, 'Revenue Codes'!$A$2:$A$99, 'Revenue Codes'!$B$2:$B$99, "")</f>
        <v>0</v>
      </c>
      <c r="P512" s="6">
        <f t="shared" si="7"/>
        <v>0</v>
      </c>
    </row>
    <row r="513" spans="3:16">
      <c r="C513" s="3">
        <f>_xlfn.XLOOKUP(B513, 'Revenue Codes'!$A$2:$A$99, 'Revenue Codes'!$B$2:$B$99, "")</f>
        <v>0</v>
      </c>
      <c r="P513" s="6">
        <f t="shared" si="7"/>
        <v>0</v>
      </c>
    </row>
    <row r="514" spans="3:16">
      <c r="C514" s="3">
        <f>_xlfn.XLOOKUP(B514, 'Revenue Codes'!$A$2:$A$99, 'Revenue Codes'!$B$2:$B$99, "")</f>
        <v>0</v>
      </c>
      <c r="P514" s="6">
        <f t="shared" ref="P514:P577" si="8">SUM(D514:O514)</f>
        <v>0</v>
      </c>
    </row>
    <row r="515" spans="3:16">
      <c r="C515" s="3">
        <f>_xlfn.XLOOKUP(B515, 'Revenue Codes'!$A$2:$A$99, 'Revenue Codes'!$B$2:$B$99, "")</f>
        <v>0</v>
      </c>
      <c r="P515" s="6">
        <f t="shared" si="8"/>
        <v>0</v>
      </c>
    </row>
    <row r="516" spans="3:16">
      <c r="C516" s="3">
        <f>_xlfn.XLOOKUP(B516, 'Revenue Codes'!$A$2:$A$99, 'Revenue Codes'!$B$2:$B$99, "")</f>
        <v>0</v>
      </c>
      <c r="P516" s="6">
        <f t="shared" si="8"/>
        <v>0</v>
      </c>
    </row>
    <row r="517" spans="3:16">
      <c r="C517" s="3">
        <f>_xlfn.XLOOKUP(B517, 'Revenue Codes'!$A$2:$A$99, 'Revenue Codes'!$B$2:$B$99, "")</f>
        <v>0</v>
      </c>
      <c r="P517" s="6">
        <f t="shared" si="8"/>
        <v>0</v>
      </c>
    </row>
    <row r="518" spans="3:16">
      <c r="C518" s="3">
        <f>_xlfn.XLOOKUP(B518, 'Revenue Codes'!$A$2:$A$99, 'Revenue Codes'!$B$2:$B$99, "")</f>
        <v>0</v>
      </c>
      <c r="P518" s="6">
        <f t="shared" si="8"/>
        <v>0</v>
      </c>
    </row>
    <row r="519" spans="3:16">
      <c r="C519" s="3">
        <f>_xlfn.XLOOKUP(B519, 'Revenue Codes'!$A$2:$A$99, 'Revenue Codes'!$B$2:$B$99, "")</f>
        <v>0</v>
      </c>
      <c r="P519" s="6">
        <f t="shared" si="8"/>
        <v>0</v>
      </c>
    </row>
    <row r="520" spans="3:16">
      <c r="C520" s="3">
        <f>_xlfn.XLOOKUP(B520, 'Revenue Codes'!$A$2:$A$99, 'Revenue Codes'!$B$2:$B$99, "")</f>
        <v>0</v>
      </c>
      <c r="P520" s="6">
        <f t="shared" si="8"/>
        <v>0</v>
      </c>
    </row>
    <row r="521" spans="3:16">
      <c r="C521" s="3">
        <f>_xlfn.XLOOKUP(B521, 'Revenue Codes'!$A$2:$A$99, 'Revenue Codes'!$B$2:$B$99, "")</f>
        <v>0</v>
      </c>
      <c r="P521" s="6">
        <f t="shared" si="8"/>
        <v>0</v>
      </c>
    </row>
    <row r="522" spans="3:16">
      <c r="C522" s="3">
        <f>_xlfn.XLOOKUP(B522, 'Revenue Codes'!$A$2:$A$99, 'Revenue Codes'!$B$2:$B$99, "")</f>
        <v>0</v>
      </c>
      <c r="P522" s="6">
        <f t="shared" si="8"/>
        <v>0</v>
      </c>
    </row>
    <row r="523" spans="3:16">
      <c r="C523" s="3">
        <f>_xlfn.XLOOKUP(B523, 'Revenue Codes'!$A$2:$A$99, 'Revenue Codes'!$B$2:$B$99, "")</f>
        <v>0</v>
      </c>
      <c r="P523" s="6">
        <f t="shared" si="8"/>
        <v>0</v>
      </c>
    </row>
    <row r="524" spans="3:16">
      <c r="C524" s="3">
        <f>_xlfn.XLOOKUP(B524, 'Revenue Codes'!$A$2:$A$99, 'Revenue Codes'!$B$2:$B$99, "")</f>
        <v>0</v>
      </c>
      <c r="P524" s="6">
        <f t="shared" si="8"/>
        <v>0</v>
      </c>
    </row>
    <row r="525" spans="3:16">
      <c r="C525" s="3">
        <f>_xlfn.XLOOKUP(B525, 'Revenue Codes'!$A$2:$A$99, 'Revenue Codes'!$B$2:$B$99, "")</f>
        <v>0</v>
      </c>
      <c r="P525" s="6">
        <f t="shared" si="8"/>
        <v>0</v>
      </c>
    </row>
    <row r="526" spans="3:16">
      <c r="C526" s="3">
        <f>_xlfn.XLOOKUP(B526, 'Revenue Codes'!$A$2:$A$99, 'Revenue Codes'!$B$2:$B$99, "")</f>
        <v>0</v>
      </c>
      <c r="P526" s="6">
        <f t="shared" si="8"/>
        <v>0</v>
      </c>
    </row>
    <row r="527" spans="3:16">
      <c r="C527" s="3">
        <f>_xlfn.XLOOKUP(B527, 'Revenue Codes'!$A$2:$A$99, 'Revenue Codes'!$B$2:$B$99, "")</f>
        <v>0</v>
      </c>
      <c r="P527" s="6">
        <f t="shared" si="8"/>
        <v>0</v>
      </c>
    </row>
    <row r="528" spans="3:16">
      <c r="C528" s="3">
        <f>_xlfn.XLOOKUP(B528, 'Revenue Codes'!$A$2:$A$99, 'Revenue Codes'!$B$2:$B$99, "")</f>
        <v>0</v>
      </c>
      <c r="P528" s="6">
        <f t="shared" si="8"/>
        <v>0</v>
      </c>
    </row>
    <row r="529" spans="3:16">
      <c r="C529" s="3">
        <f>_xlfn.XLOOKUP(B529, 'Revenue Codes'!$A$2:$A$99, 'Revenue Codes'!$B$2:$B$99, "")</f>
        <v>0</v>
      </c>
      <c r="P529" s="6">
        <f t="shared" si="8"/>
        <v>0</v>
      </c>
    </row>
    <row r="530" spans="3:16">
      <c r="C530" s="3">
        <f>_xlfn.XLOOKUP(B530, 'Revenue Codes'!$A$2:$A$99, 'Revenue Codes'!$B$2:$B$99, "")</f>
        <v>0</v>
      </c>
      <c r="P530" s="6">
        <f t="shared" si="8"/>
        <v>0</v>
      </c>
    </row>
    <row r="531" spans="3:16">
      <c r="C531" s="3">
        <f>_xlfn.XLOOKUP(B531, 'Revenue Codes'!$A$2:$A$99, 'Revenue Codes'!$B$2:$B$99, "")</f>
        <v>0</v>
      </c>
      <c r="P531" s="6">
        <f t="shared" si="8"/>
        <v>0</v>
      </c>
    </row>
    <row r="532" spans="3:16">
      <c r="C532" s="3">
        <f>_xlfn.XLOOKUP(B532, 'Revenue Codes'!$A$2:$A$99, 'Revenue Codes'!$B$2:$B$99, "")</f>
        <v>0</v>
      </c>
      <c r="P532" s="6">
        <f t="shared" si="8"/>
        <v>0</v>
      </c>
    </row>
    <row r="533" spans="3:16">
      <c r="C533" s="3">
        <f>_xlfn.XLOOKUP(B533, 'Revenue Codes'!$A$2:$A$99, 'Revenue Codes'!$B$2:$B$99, "")</f>
        <v>0</v>
      </c>
      <c r="P533" s="6">
        <f t="shared" si="8"/>
        <v>0</v>
      </c>
    </row>
    <row r="534" spans="3:16">
      <c r="C534" s="3">
        <f>_xlfn.XLOOKUP(B534, 'Revenue Codes'!$A$2:$A$99, 'Revenue Codes'!$B$2:$B$99, "")</f>
        <v>0</v>
      </c>
      <c r="P534" s="6">
        <f t="shared" si="8"/>
        <v>0</v>
      </c>
    </row>
    <row r="535" spans="3:16">
      <c r="C535" s="3">
        <f>_xlfn.XLOOKUP(B535, 'Revenue Codes'!$A$2:$A$99, 'Revenue Codes'!$B$2:$B$99, "")</f>
        <v>0</v>
      </c>
      <c r="P535" s="6">
        <f t="shared" si="8"/>
        <v>0</v>
      </c>
    </row>
    <row r="536" spans="3:16">
      <c r="C536" s="3">
        <f>_xlfn.XLOOKUP(B536, 'Revenue Codes'!$A$2:$A$99, 'Revenue Codes'!$B$2:$B$99, "")</f>
        <v>0</v>
      </c>
      <c r="P536" s="6">
        <f t="shared" si="8"/>
        <v>0</v>
      </c>
    </row>
    <row r="537" spans="3:16">
      <c r="C537" s="3">
        <f>_xlfn.XLOOKUP(B537, 'Revenue Codes'!$A$2:$A$99, 'Revenue Codes'!$B$2:$B$99, "")</f>
        <v>0</v>
      </c>
      <c r="P537" s="6">
        <f t="shared" si="8"/>
        <v>0</v>
      </c>
    </row>
    <row r="538" spans="3:16">
      <c r="C538" s="3">
        <f>_xlfn.XLOOKUP(B538, 'Revenue Codes'!$A$2:$A$99, 'Revenue Codes'!$B$2:$B$99, "")</f>
        <v>0</v>
      </c>
      <c r="P538" s="6">
        <f t="shared" si="8"/>
        <v>0</v>
      </c>
    </row>
    <row r="539" spans="3:16">
      <c r="C539" s="3">
        <f>_xlfn.XLOOKUP(B539, 'Revenue Codes'!$A$2:$A$99, 'Revenue Codes'!$B$2:$B$99, "")</f>
        <v>0</v>
      </c>
      <c r="P539" s="6">
        <f t="shared" si="8"/>
        <v>0</v>
      </c>
    </row>
    <row r="540" spans="3:16">
      <c r="C540" s="3">
        <f>_xlfn.XLOOKUP(B540, 'Revenue Codes'!$A$2:$A$99, 'Revenue Codes'!$B$2:$B$99, "")</f>
        <v>0</v>
      </c>
      <c r="P540" s="6">
        <f t="shared" si="8"/>
        <v>0</v>
      </c>
    </row>
    <row r="541" spans="3:16">
      <c r="C541" s="3">
        <f>_xlfn.XLOOKUP(B541, 'Revenue Codes'!$A$2:$A$99, 'Revenue Codes'!$B$2:$B$99, "")</f>
        <v>0</v>
      </c>
      <c r="P541" s="6">
        <f t="shared" si="8"/>
        <v>0</v>
      </c>
    </row>
    <row r="542" spans="3:16">
      <c r="C542" s="3">
        <f>_xlfn.XLOOKUP(B542, 'Revenue Codes'!$A$2:$A$99, 'Revenue Codes'!$B$2:$B$99, "")</f>
        <v>0</v>
      </c>
      <c r="P542" s="6">
        <f t="shared" si="8"/>
        <v>0</v>
      </c>
    </row>
    <row r="543" spans="3:16">
      <c r="C543" s="3">
        <f>_xlfn.XLOOKUP(B543, 'Revenue Codes'!$A$2:$A$99, 'Revenue Codes'!$B$2:$B$99, "")</f>
        <v>0</v>
      </c>
      <c r="P543" s="6">
        <f t="shared" si="8"/>
        <v>0</v>
      </c>
    </row>
    <row r="544" spans="3:16">
      <c r="C544" s="3">
        <f>_xlfn.XLOOKUP(B544, 'Revenue Codes'!$A$2:$A$99, 'Revenue Codes'!$B$2:$B$99, "")</f>
        <v>0</v>
      </c>
      <c r="P544" s="6">
        <f t="shared" si="8"/>
        <v>0</v>
      </c>
    </row>
    <row r="545" spans="3:16">
      <c r="C545" s="3">
        <f>_xlfn.XLOOKUP(B545, 'Revenue Codes'!$A$2:$A$99, 'Revenue Codes'!$B$2:$B$99, "")</f>
        <v>0</v>
      </c>
      <c r="P545" s="6">
        <f t="shared" si="8"/>
        <v>0</v>
      </c>
    </row>
    <row r="546" spans="3:16">
      <c r="C546" s="3">
        <f>_xlfn.XLOOKUP(B546, 'Revenue Codes'!$A$2:$A$99, 'Revenue Codes'!$B$2:$B$99, "")</f>
        <v>0</v>
      </c>
      <c r="P546" s="6">
        <f t="shared" si="8"/>
        <v>0</v>
      </c>
    </row>
    <row r="547" spans="3:16">
      <c r="C547" s="3">
        <f>_xlfn.XLOOKUP(B547, 'Revenue Codes'!$A$2:$A$99, 'Revenue Codes'!$B$2:$B$99, "")</f>
        <v>0</v>
      </c>
      <c r="P547" s="6">
        <f t="shared" si="8"/>
        <v>0</v>
      </c>
    </row>
    <row r="548" spans="3:16">
      <c r="C548" s="3">
        <f>_xlfn.XLOOKUP(B548, 'Revenue Codes'!$A$2:$A$99, 'Revenue Codes'!$B$2:$B$99, "")</f>
        <v>0</v>
      </c>
      <c r="P548" s="6">
        <f t="shared" si="8"/>
        <v>0</v>
      </c>
    </row>
    <row r="549" spans="3:16">
      <c r="C549" s="3">
        <f>_xlfn.XLOOKUP(B549, 'Revenue Codes'!$A$2:$A$99, 'Revenue Codes'!$B$2:$B$99, "")</f>
        <v>0</v>
      </c>
      <c r="P549" s="6">
        <f t="shared" si="8"/>
        <v>0</v>
      </c>
    </row>
    <row r="550" spans="3:16">
      <c r="C550" s="3">
        <f>_xlfn.XLOOKUP(B550, 'Revenue Codes'!$A$2:$A$99, 'Revenue Codes'!$B$2:$B$99, "")</f>
        <v>0</v>
      </c>
      <c r="P550" s="6">
        <f t="shared" si="8"/>
        <v>0</v>
      </c>
    </row>
    <row r="551" spans="3:16">
      <c r="C551" s="3">
        <f>_xlfn.XLOOKUP(B551, 'Revenue Codes'!$A$2:$A$99, 'Revenue Codes'!$B$2:$B$99, "")</f>
        <v>0</v>
      </c>
      <c r="P551" s="6">
        <f t="shared" si="8"/>
        <v>0</v>
      </c>
    </row>
    <row r="552" spans="3:16">
      <c r="C552" s="3">
        <f>_xlfn.XLOOKUP(B552, 'Revenue Codes'!$A$2:$A$99, 'Revenue Codes'!$B$2:$B$99, "")</f>
        <v>0</v>
      </c>
      <c r="P552" s="6">
        <f t="shared" si="8"/>
        <v>0</v>
      </c>
    </row>
    <row r="553" spans="3:16">
      <c r="C553" s="3">
        <f>_xlfn.XLOOKUP(B553, 'Revenue Codes'!$A$2:$A$99, 'Revenue Codes'!$B$2:$B$99, "")</f>
        <v>0</v>
      </c>
      <c r="P553" s="6">
        <f t="shared" si="8"/>
        <v>0</v>
      </c>
    </row>
    <row r="554" spans="3:16">
      <c r="C554" s="3">
        <f>_xlfn.XLOOKUP(B554, 'Revenue Codes'!$A$2:$A$99, 'Revenue Codes'!$B$2:$B$99, "")</f>
        <v>0</v>
      </c>
      <c r="P554" s="6">
        <f t="shared" si="8"/>
        <v>0</v>
      </c>
    </row>
    <row r="555" spans="3:16">
      <c r="C555" s="3">
        <f>_xlfn.XLOOKUP(B555, 'Revenue Codes'!$A$2:$A$99, 'Revenue Codes'!$B$2:$B$99, "")</f>
        <v>0</v>
      </c>
      <c r="P555" s="6">
        <f t="shared" si="8"/>
        <v>0</v>
      </c>
    </row>
    <row r="556" spans="3:16">
      <c r="C556" s="3">
        <f>_xlfn.XLOOKUP(B556, 'Revenue Codes'!$A$2:$A$99, 'Revenue Codes'!$B$2:$B$99, "")</f>
        <v>0</v>
      </c>
      <c r="P556" s="6">
        <f t="shared" si="8"/>
        <v>0</v>
      </c>
    </row>
    <row r="557" spans="3:16">
      <c r="C557" s="3">
        <f>_xlfn.XLOOKUP(B557, 'Revenue Codes'!$A$2:$A$99, 'Revenue Codes'!$B$2:$B$99, "")</f>
        <v>0</v>
      </c>
      <c r="P557" s="6">
        <f t="shared" si="8"/>
        <v>0</v>
      </c>
    </row>
    <row r="558" spans="3:16">
      <c r="C558" s="3">
        <f>_xlfn.XLOOKUP(B558, 'Revenue Codes'!$A$2:$A$99, 'Revenue Codes'!$B$2:$B$99, "")</f>
        <v>0</v>
      </c>
      <c r="P558" s="6">
        <f t="shared" si="8"/>
        <v>0</v>
      </c>
    </row>
    <row r="559" spans="3:16">
      <c r="C559" s="3">
        <f>_xlfn.XLOOKUP(B559, 'Revenue Codes'!$A$2:$A$99, 'Revenue Codes'!$B$2:$B$99, "")</f>
        <v>0</v>
      </c>
      <c r="P559" s="6">
        <f t="shared" si="8"/>
        <v>0</v>
      </c>
    </row>
    <row r="560" spans="3:16">
      <c r="C560" s="3">
        <f>_xlfn.XLOOKUP(B560, 'Revenue Codes'!$A$2:$A$99, 'Revenue Codes'!$B$2:$B$99, "")</f>
        <v>0</v>
      </c>
      <c r="P560" s="6">
        <f t="shared" si="8"/>
        <v>0</v>
      </c>
    </row>
    <row r="561" spans="3:16">
      <c r="C561" s="3">
        <f>_xlfn.XLOOKUP(B561, 'Revenue Codes'!$A$2:$A$99, 'Revenue Codes'!$B$2:$B$99, "")</f>
        <v>0</v>
      </c>
      <c r="P561" s="6">
        <f t="shared" si="8"/>
        <v>0</v>
      </c>
    </row>
    <row r="562" spans="3:16">
      <c r="C562" s="3">
        <f>_xlfn.XLOOKUP(B562, 'Revenue Codes'!$A$2:$A$99, 'Revenue Codes'!$B$2:$B$99, "")</f>
        <v>0</v>
      </c>
      <c r="P562" s="6">
        <f t="shared" si="8"/>
        <v>0</v>
      </c>
    </row>
    <row r="563" spans="3:16">
      <c r="C563" s="3">
        <f>_xlfn.XLOOKUP(B563, 'Revenue Codes'!$A$2:$A$99, 'Revenue Codes'!$B$2:$B$99, "")</f>
        <v>0</v>
      </c>
      <c r="P563" s="6">
        <f t="shared" si="8"/>
        <v>0</v>
      </c>
    </row>
    <row r="564" spans="3:16">
      <c r="C564" s="3">
        <f>_xlfn.XLOOKUP(B564, 'Revenue Codes'!$A$2:$A$99, 'Revenue Codes'!$B$2:$B$99, "")</f>
        <v>0</v>
      </c>
      <c r="P564" s="6">
        <f t="shared" si="8"/>
        <v>0</v>
      </c>
    </row>
    <row r="565" spans="3:16">
      <c r="C565" s="3">
        <f>_xlfn.XLOOKUP(B565, 'Revenue Codes'!$A$2:$A$99, 'Revenue Codes'!$B$2:$B$99, "")</f>
        <v>0</v>
      </c>
      <c r="P565" s="6">
        <f t="shared" si="8"/>
        <v>0</v>
      </c>
    </row>
    <row r="566" spans="3:16">
      <c r="C566" s="3">
        <f>_xlfn.XLOOKUP(B566, 'Revenue Codes'!$A$2:$A$99, 'Revenue Codes'!$B$2:$B$99, "")</f>
        <v>0</v>
      </c>
      <c r="P566" s="6">
        <f t="shared" si="8"/>
        <v>0</v>
      </c>
    </row>
    <row r="567" spans="3:16">
      <c r="C567" s="3">
        <f>_xlfn.XLOOKUP(B567, 'Revenue Codes'!$A$2:$A$99, 'Revenue Codes'!$B$2:$B$99, "")</f>
        <v>0</v>
      </c>
      <c r="P567" s="6">
        <f t="shared" si="8"/>
        <v>0</v>
      </c>
    </row>
    <row r="568" spans="3:16">
      <c r="C568" s="3">
        <f>_xlfn.XLOOKUP(B568, 'Revenue Codes'!$A$2:$A$99, 'Revenue Codes'!$B$2:$B$99, "")</f>
        <v>0</v>
      </c>
      <c r="P568" s="6">
        <f t="shared" si="8"/>
        <v>0</v>
      </c>
    </row>
    <row r="569" spans="3:16">
      <c r="C569" s="3">
        <f>_xlfn.XLOOKUP(B569, 'Revenue Codes'!$A$2:$A$99, 'Revenue Codes'!$B$2:$B$99, "")</f>
        <v>0</v>
      </c>
      <c r="P569" s="6">
        <f t="shared" si="8"/>
        <v>0</v>
      </c>
    </row>
    <row r="570" spans="3:16">
      <c r="C570" s="3">
        <f>_xlfn.XLOOKUP(B570, 'Revenue Codes'!$A$2:$A$99, 'Revenue Codes'!$B$2:$B$99, "")</f>
        <v>0</v>
      </c>
      <c r="P570" s="6">
        <f t="shared" si="8"/>
        <v>0</v>
      </c>
    </row>
    <row r="571" spans="3:16">
      <c r="C571" s="3">
        <f>_xlfn.XLOOKUP(B571, 'Revenue Codes'!$A$2:$A$99, 'Revenue Codes'!$B$2:$B$99, "")</f>
        <v>0</v>
      </c>
      <c r="P571" s="6">
        <f t="shared" si="8"/>
        <v>0</v>
      </c>
    </row>
    <row r="572" spans="3:16">
      <c r="C572" s="3">
        <f>_xlfn.XLOOKUP(B572, 'Revenue Codes'!$A$2:$A$99, 'Revenue Codes'!$B$2:$B$99, "")</f>
        <v>0</v>
      </c>
      <c r="P572" s="6">
        <f t="shared" si="8"/>
        <v>0</v>
      </c>
    </row>
    <row r="573" spans="3:16">
      <c r="C573" s="3">
        <f>_xlfn.XLOOKUP(B573, 'Revenue Codes'!$A$2:$A$99, 'Revenue Codes'!$B$2:$B$99, "")</f>
        <v>0</v>
      </c>
      <c r="P573" s="6">
        <f t="shared" si="8"/>
        <v>0</v>
      </c>
    </row>
    <row r="574" spans="3:16">
      <c r="C574" s="3">
        <f>_xlfn.XLOOKUP(B574, 'Revenue Codes'!$A$2:$A$99, 'Revenue Codes'!$B$2:$B$99, "")</f>
        <v>0</v>
      </c>
      <c r="P574" s="6">
        <f t="shared" si="8"/>
        <v>0</v>
      </c>
    </row>
    <row r="575" spans="3:16">
      <c r="C575" s="3">
        <f>_xlfn.XLOOKUP(B575, 'Revenue Codes'!$A$2:$A$99, 'Revenue Codes'!$B$2:$B$99, "")</f>
        <v>0</v>
      </c>
      <c r="P575" s="6">
        <f t="shared" si="8"/>
        <v>0</v>
      </c>
    </row>
    <row r="576" spans="3:16">
      <c r="C576" s="3">
        <f>_xlfn.XLOOKUP(B576, 'Revenue Codes'!$A$2:$A$99, 'Revenue Codes'!$B$2:$B$99, "")</f>
        <v>0</v>
      </c>
      <c r="P576" s="6">
        <f t="shared" si="8"/>
        <v>0</v>
      </c>
    </row>
    <row r="577" spans="3:16">
      <c r="C577" s="3">
        <f>_xlfn.XLOOKUP(B577, 'Revenue Codes'!$A$2:$A$99, 'Revenue Codes'!$B$2:$B$99, "")</f>
        <v>0</v>
      </c>
      <c r="P577" s="6">
        <f t="shared" si="8"/>
        <v>0</v>
      </c>
    </row>
    <row r="578" spans="3:16">
      <c r="C578" s="3">
        <f>_xlfn.XLOOKUP(B578, 'Revenue Codes'!$A$2:$A$99, 'Revenue Codes'!$B$2:$B$99, "")</f>
        <v>0</v>
      </c>
      <c r="P578" s="6">
        <f t="shared" ref="P578:P599" si="9">SUM(D578:O578)</f>
        <v>0</v>
      </c>
    </row>
    <row r="579" spans="3:16">
      <c r="C579" s="3">
        <f>_xlfn.XLOOKUP(B579, 'Revenue Codes'!$A$2:$A$99, 'Revenue Codes'!$B$2:$B$99, "")</f>
        <v>0</v>
      </c>
      <c r="P579" s="6">
        <f t="shared" si="9"/>
        <v>0</v>
      </c>
    </row>
    <row r="580" spans="3:16">
      <c r="C580" s="3">
        <f>_xlfn.XLOOKUP(B580, 'Revenue Codes'!$A$2:$A$99, 'Revenue Codes'!$B$2:$B$99, "")</f>
        <v>0</v>
      </c>
      <c r="P580" s="6">
        <f t="shared" si="9"/>
        <v>0</v>
      </c>
    </row>
    <row r="581" spans="3:16">
      <c r="C581" s="3">
        <f>_xlfn.XLOOKUP(B581, 'Revenue Codes'!$A$2:$A$99, 'Revenue Codes'!$B$2:$B$99, "")</f>
        <v>0</v>
      </c>
      <c r="P581" s="6">
        <f t="shared" si="9"/>
        <v>0</v>
      </c>
    </row>
    <row r="582" spans="3:16">
      <c r="C582" s="3">
        <f>_xlfn.XLOOKUP(B582, 'Revenue Codes'!$A$2:$A$99, 'Revenue Codes'!$B$2:$B$99, "")</f>
        <v>0</v>
      </c>
      <c r="P582" s="6">
        <f t="shared" si="9"/>
        <v>0</v>
      </c>
    </row>
    <row r="583" spans="3:16">
      <c r="C583" s="3">
        <f>_xlfn.XLOOKUP(B583, 'Revenue Codes'!$A$2:$A$99, 'Revenue Codes'!$B$2:$B$99, "")</f>
        <v>0</v>
      </c>
      <c r="P583" s="6">
        <f t="shared" si="9"/>
        <v>0</v>
      </c>
    </row>
    <row r="584" spans="3:16">
      <c r="C584" s="3">
        <f>_xlfn.XLOOKUP(B584, 'Revenue Codes'!$A$2:$A$99, 'Revenue Codes'!$B$2:$B$99, "")</f>
        <v>0</v>
      </c>
      <c r="P584" s="6">
        <f t="shared" si="9"/>
        <v>0</v>
      </c>
    </row>
    <row r="585" spans="3:16">
      <c r="C585" s="3">
        <f>_xlfn.XLOOKUP(B585, 'Revenue Codes'!$A$2:$A$99, 'Revenue Codes'!$B$2:$B$99, "")</f>
        <v>0</v>
      </c>
      <c r="P585" s="6">
        <f t="shared" si="9"/>
        <v>0</v>
      </c>
    </row>
    <row r="586" spans="3:16">
      <c r="C586" s="3">
        <f>_xlfn.XLOOKUP(B586, 'Revenue Codes'!$A$2:$A$99, 'Revenue Codes'!$B$2:$B$99, "")</f>
        <v>0</v>
      </c>
      <c r="P586" s="6">
        <f t="shared" si="9"/>
        <v>0</v>
      </c>
    </row>
    <row r="587" spans="3:16">
      <c r="C587" s="3">
        <f>_xlfn.XLOOKUP(B587, 'Revenue Codes'!$A$2:$A$99, 'Revenue Codes'!$B$2:$B$99, "")</f>
        <v>0</v>
      </c>
      <c r="P587" s="6">
        <f t="shared" si="9"/>
        <v>0</v>
      </c>
    </row>
    <row r="588" spans="3:16">
      <c r="C588" s="3">
        <f>_xlfn.XLOOKUP(B588, 'Revenue Codes'!$A$2:$A$99, 'Revenue Codes'!$B$2:$B$99, "")</f>
        <v>0</v>
      </c>
      <c r="P588" s="6">
        <f t="shared" si="9"/>
        <v>0</v>
      </c>
    </row>
    <row r="589" spans="3:16">
      <c r="C589" s="3">
        <f>_xlfn.XLOOKUP(B589, 'Revenue Codes'!$A$2:$A$99, 'Revenue Codes'!$B$2:$B$99, "")</f>
        <v>0</v>
      </c>
      <c r="P589" s="6">
        <f t="shared" si="9"/>
        <v>0</v>
      </c>
    </row>
    <row r="590" spans="3:16">
      <c r="C590" s="3">
        <f>_xlfn.XLOOKUP(B590, 'Revenue Codes'!$A$2:$A$99, 'Revenue Codes'!$B$2:$B$99, "")</f>
        <v>0</v>
      </c>
      <c r="P590" s="6">
        <f t="shared" si="9"/>
        <v>0</v>
      </c>
    </row>
    <row r="591" spans="3:16">
      <c r="C591" s="3">
        <f>_xlfn.XLOOKUP(B591, 'Revenue Codes'!$A$2:$A$99, 'Revenue Codes'!$B$2:$B$99, "")</f>
        <v>0</v>
      </c>
      <c r="P591" s="6">
        <f t="shared" si="9"/>
        <v>0</v>
      </c>
    </row>
    <row r="592" spans="3:16">
      <c r="C592" s="3">
        <f>_xlfn.XLOOKUP(B592, 'Revenue Codes'!$A$2:$A$99, 'Revenue Codes'!$B$2:$B$99, "")</f>
        <v>0</v>
      </c>
      <c r="P592" s="6">
        <f t="shared" si="9"/>
        <v>0</v>
      </c>
    </row>
    <row r="593" spans="3:17">
      <c r="C593" s="3">
        <f>_xlfn.XLOOKUP(B593, 'Revenue Codes'!$A$2:$A$99, 'Revenue Codes'!$B$2:$B$99, "")</f>
        <v>0</v>
      </c>
      <c r="P593" s="6">
        <f t="shared" si="9"/>
        <v>0</v>
      </c>
    </row>
    <row r="594" spans="3:17">
      <c r="C594" s="3">
        <f>_xlfn.XLOOKUP(B594, 'Revenue Codes'!$A$2:$A$99, 'Revenue Codes'!$B$2:$B$99, "")</f>
        <v>0</v>
      </c>
      <c r="P594" s="6">
        <f t="shared" si="9"/>
        <v>0</v>
      </c>
    </row>
    <row r="595" spans="3:17">
      <c r="C595" s="3">
        <f>_xlfn.XLOOKUP(B595, 'Revenue Codes'!$A$2:$A$99, 'Revenue Codes'!$B$2:$B$99, "")</f>
        <v>0</v>
      </c>
      <c r="P595" s="6">
        <f t="shared" si="9"/>
        <v>0</v>
      </c>
    </row>
    <row r="596" spans="3:17">
      <c r="C596" s="3">
        <f>_xlfn.XLOOKUP(B596, 'Revenue Codes'!$A$2:$A$99, 'Revenue Codes'!$B$2:$B$99, "")</f>
        <v>0</v>
      </c>
      <c r="P596" s="6">
        <f t="shared" si="9"/>
        <v>0</v>
      </c>
    </row>
    <row r="597" spans="3:17">
      <c r="C597" s="3">
        <f>_xlfn.XLOOKUP(B597, 'Revenue Codes'!$A$2:$A$99, 'Revenue Codes'!$B$2:$B$99, "")</f>
        <v>0</v>
      </c>
      <c r="P597" s="6">
        <f t="shared" si="9"/>
        <v>0</v>
      </c>
    </row>
    <row r="598" spans="3:17">
      <c r="C598" s="3">
        <f>_xlfn.XLOOKUP(B598, 'Revenue Codes'!$A$2:$A$99, 'Revenue Codes'!$B$2:$B$99, "")</f>
        <v>0</v>
      </c>
      <c r="P598" s="6">
        <f t="shared" si="9"/>
        <v>0</v>
      </c>
    </row>
    <row r="599" spans="3:17">
      <c r="C599" s="3">
        <f>_xlfn.XLOOKUP(B599, 'Revenue Codes'!$A$2:$A$99, 'Revenue Codes'!$B$2:$B$99, "")</f>
        <v>0</v>
      </c>
      <c r="P599" s="6">
        <f t="shared" si="9"/>
        <v>0</v>
      </c>
    </row>
    <row r="600" spans="3:17">
      <c r="C600" s="3"/>
      <c r="Q600" s="2"/>
    </row>
  </sheetData>
  <protectedRanges>
    <protectedRange sqref="A1:B1048576" name="First Columns"/>
    <protectedRange sqref="D1:D139 I1:I143 E1:H1048576 D141:D1048576 I148:I157 I159:I1048576 K1:O1048576 J1:J139 J141:J143 I145:J146 J148:J1048576" name="Values"/>
  </protectedRanges>
  <autoFilter ref="A1:P599" xr:uid="{DE093651-EB6E-4DCB-95B9-A37D585EEF0C}"/>
  <mergeCells count="1">
    <mergeCell ref="S2:S9"/>
  </mergeCells>
  <conditionalFormatting sqref="D1:O137 D161:O1048576 H140 H144 H147 I153 I160 K140:O140 L138:O139 K144:O144 L141:O143 L145:O160">
    <cfRule type="cellIs" dxfId="1" priority="1" operator="lessThan">
      <formula>-0.1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7574623-F663-4202-B1E8-5074967ED5FB}">
          <x14:formula1>
            <xm:f>'Revenue Codes'!$A$1:$A$99</xm:f>
          </x14:formula1>
          <xm:sqref>B2:B600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2"/>
  <sheetViews>
    <sheetView workbookViewId="0">
      <pane ySplit="1" topLeftCell="A56" activePane="bottomLeft" state="frozen"/>
      <selection pane="bottomLeft" activeCell="H596" sqref="H596"/>
    </sheetView>
  </sheetViews>
  <sheetFormatPr defaultColWidth="8.85546875" defaultRowHeight="15"/>
  <cols>
    <col min="1" max="1" width="5.140625" bestFit="1" customWidth="1"/>
    <col min="2" max="2" width="13.42578125" bestFit="1" customWidth="1"/>
    <col min="3" max="3" width="18.140625" bestFit="1" customWidth="1"/>
    <col min="4" max="15" width="11.5703125" style="2" bestFit="1" customWidth="1"/>
    <col min="16" max="16" width="12.7109375" bestFit="1" customWidth="1"/>
    <col min="17" max="17" width="11.140625" bestFit="1" customWidth="1"/>
    <col min="19" max="19" width="80.28515625" customWidth="1"/>
  </cols>
  <sheetData>
    <row r="1" spans="1:19">
      <c r="A1" t="s">
        <v>0</v>
      </c>
      <c r="B1" t="s">
        <v>1</v>
      </c>
      <c r="C1" t="s">
        <v>2</v>
      </c>
      <c r="D1" s="2" t="s">
        <v>3</v>
      </c>
      <c r="E1" s="2" t="s">
        <v>4</v>
      </c>
      <c r="F1" s="2" t="s">
        <v>5</v>
      </c>
      <c r="G1" s="2" t="s">
        <v>6</v>
      </c>
      <c r="H1" s="2" t="s">
        <v>7</v>
      </c>
      <c r="I1" s="2" t="s">
        <v>8</v>
      </c>
      <c r="J1" s="2" t="s">
        <v>9</v>
      </c>
      <c r="K1" s="2" t="s">
        <v>10</v>
      </c>
      <c r="L1" s="2" t="s">
        <v>11</v>
      </c>
      <c r="M1" s="2" t="s">
        <v>12</v>
      </c>
      <c r="N1" s="2" t="s">
        <v>13</v>
      </c>
      <c r="O1" s="2" t="s">
        <v>14</v>
      </c>
      <c r="P1" t="s">
        <v>15</v>
      </c>
      <c r="S1" s="14" t="s">
        <v>16</v>
      </c>
    </row>
    <row r="2" spans="1:19" ht="15" customHeight="1">
      <c r="A2">
        <v>2022</v>
      </c>
      <c r="B2" t="s">
        <v>17</v>
      </c>
      <c r="C2" s="3" t="str">
        <f>_xlfn.XLOOKUP(B2, 'Revenue Codes'!$A$2:$A$99, 'Revenue Codes'!$B$2:$B$99, "")</f>
        <v xml:space="preserve">Import Duty </v>
      </c>
      <c r="D2" s="8">
        <v>3241000</v>
      </c>
      <c r="E2" s="8">
        <v>3124000</v>
      </c>
      <c r="F2" s="8">
        <v>3112000</v>
      </c>
      <c r="G2" s="8">
        <v>3158000</v>
      </c>
      <c r="H2" s="8">
        <v>3237000</v>
      </c>
      <c r="I2" s="8">
        <v>3339000</v>
      </c>
      <c r="J2" s="8">
        <v>3455000</v>
      </c>
      <c r="K2" s="8">
        <v>3582000</v>
      </c>
      <c r="L2" s="8">
        <v>3717000</v>
      </c>
      <c r="M2" s="8">
        <v>3860000</v>
      </c>
      <c r="N2" s="8">
        <v>4009000</v>
      </c>
      <c r="O2" s="8">
        <v>4165000</v>
      </c>
      <c r="P2" s="2">
        <v>41999000</v>
      </c>
      <c r="S2" s="82" t="s">
        <v>58</v>
      </c>
    </row>
    <row r="3" spans="1:19">
      <c r="A3">
        <v>2022</v>
      </c>
      <c r="B3" t="s">
        <v>19</v>
      </c>
      <c r="C3" s="3" t="str">
        <f>_xlfn.XLOOKUP(B3, 'Revenue Codes'!$A$2:$A$99, 'Revenue Codes'!$B$2:$B$99, "")</f>
        <v xml:space="preserve">Export Duty </v>
      </c>
      <c r="D3" s="8">
        <v>2000</v>
      </c>
      <c r="E3" s="8">
        <v>2000</v>
      </c>
      <c r="F3" s="8">
        <v>3000</v>
      </c>
      <c r="G3" s="8">
        <v>2000</v>
      </c>
      <c r="H3" s="8">
        <v>2000</v>
      </c>
      <c r="I3" s="8">
        <v>3000</v>
      </c>
      <c r="J3" s="8">
        <v>2000</v>
      </c>
      <c r="K3" s="8">
        <v>3000</v>
      </c>
      <c r="L3" s="8">
        <v>2000</v>
      </c>
      <c r="M3" s="8">
        <v>3000</v>
      </c>
      <c r="N3" s="8">
        <v>3000</v>
      </c>
      <c r="O3" s="8">
        <v>4000</v>
      </c>
      <c r="P3" s="2">
        <v>31000</v>
      </c>
      <c r="S3" s="82"/>
    </row>
    <row r="4" spans="1:19">
      <c r="A4">
        <v>2022</v>
      </c>
      <c r="B4" t="s">
        <v>20</v>
      </c>
      <c r="C4" s="3" t="str">
        <f>_xlfn.XLOOKUP(B4, 'Revenue Codes'!$A$2:$A$99, 'Revenue Codes'!$B$2:$B$99, "")</f>
        <v xml:space="preserve">PAL </v>
      </c>
      <c r="D4" s="8">
        <v>13341000</v>
      </c>
      <c r="E4" s="8">
        <v>12695000</v>
      </c>
      <c r="F4" s="8">
        <v>13556000</v>
      </c>
      <c r="G4" s="8">
        <v>13747000</v>
      </c>
      <c r="H4" s="8">
        <v>14267000</v>
      </c>
      <c r="I4" s="8">
        <v>14654000</v>
      </c>
      <c r="J4" s="8">
        <v>15122000</v>
      </c>
      <c r="K4" s="8">
        <v>15571000</v>
      </c>
      <c r="L4" s="8">
        <v>16050000</v>
      </c>
      <c r="M4" s="8">
        <v>15491000</v>
      </c>
      <c r="N4" s="8">
        <v>15995000</v>
      </c>
      <c r="O4" s="8">
        <v>16513000</v>
      </c>
      <c r="P4" s="2">
        <v>177002000</v>
      </c>
      <c r="S4" s="82"/>
    </row>
    <row r="5" spans="1:19">
      <c r="A5">
        <v>2022</v>
      </c>
      <c r="B5" t="s">
        <v>21</v>
      </c>
      <c r="C5" s="3" t="str">
        <f>_xlfn.XLOOKUP(B5, 'Revenue Codes'!$A$2:$A$99, 'Revenue Codes'!$B$2:$B$99, "")</f>
        <v xml:space="preserve">Cess (Import) </v>
      </c>
      <c r="D5" s="8">
        <v>5421000</v>
      </c>
      <c r="E5" s="8">
        <v>5330000</v>
      </c>
      <c r="F5" s="8">
        <v>5575000</v>
      </c>
      <c r="G5" s="8">
        <v>5173000</v>
      </c>
      <c r="H5" s="8">
        <v>5105000</v>
      </c>
      <c r="I5" s="8">
        <v>5892000</v>
      </c>
      <c r="J5" s="8">
        <v>5756000</v>
      </c>
      <c r="K5" s="8">
        <v>5633000</v>
      </c>
      <c r="L5" s="8">
        <v>5522000</v>
      </c>
      <c r="M5" s="8">
        <v>5421000</v>
      </c>
      <c r="N5" s="8">
        <v>5529000</v>
      </c>
      <c r="O5" s="8">
        <v>5643000</v>
      </c>
      <c r="P5" s="2">
        <v>66000000</v>
      </c>
      <c r="S5" s="82"/>
    </row>
    <row r="6" spans="1:19">
      <c r="A6">
        <v>2022</v>
      </c>
      <c r="B6" t="s">
        <v>22</v>
      </c>
      <c r="C6" s="3" t="str">
        <f>_xlfn.XLOOKUP(B6, 'Revenue Codes'!$A$2:$A$99, 'Revenue Codes'!$B$2:$B$99, "")</f>
        <v>Cess (Export)</v>
      </c>
      <c r="D6" s="8">
        <v>162000</v>
      </c>
      <c r="E6" s="8">
        <v>169000</v>
      </c>
      <c r="F6" s="8">
        <v>170000</v>
      </c>
      <c r="G6" s="8">
        <v>169000</v>
      </c>
      <c r="H6" s="8">
        <v>169000</v>
      </c>
      <c r="I6" s="8">
        <v>168000</v>
      </c>
      <c r="J6" s="8">
        <v>167000</v>
      </c>
      <c r="K6" s="8">
        <v>167000</v>
      </c>
      <c r="L6" s="8">
        <v>166000</v>
      </c>
      <c r="M6" s="8">
        <v>165000</v>
      </c>
      <c r="N6" s="8">
        <v>164000</v>
      </c>
      <c r="O6" s="8">
        <v>164000</v>
      </c>
      <c r="P6" s="2">
        <v>2000000</v>
      </c>
      <c r="S6" s="82"/>
    </row>
    <row r="7" spans="1:19">
      <c r="A7">
        <v>2022</v>
      </c>
      <c r="B7" t="s">
        <v>24</v>
      </c>
      <c r="C7" s="3" t="str">
        <f>_xlfn.XLOOKUP(B7, 'Revenue Codes'!$A$2:$A$99, 'Revenue Codes'!$B$2:$B$99, "")</f>
        <v>SCL</v>
      </c>
      <c r="D7" s="8">
        <v>2883000</v>
      </c>
      <c r="E7" s="8">
        <v>2948000</v>
      </c>
      <c r="F7" s="8">
        <v>2963000</v>
      </c>
      <c r="G7" s="8">
        <v>2960000</v>
      </c>
      <c r="H7" s="8">
        <v>2951000</v>
      </c>
      <c r="I7" s="8">
        <v>2939000</v>
      </c>
      <c r="J7" s="8">
        <v>2926000</v>
      </c>
      <c r="K7" s="8">
        <v>2913000</v>
      </c>
      <c r="L7" s="8">
        <v>2899000</v>
      </c>
      <c r="M7" s="8">
        <v>2886000</v>
      </c>
      <c r="N7" s="8">
        <v>2873000</v>
      </c>
      <c r="O7" s="8">
        <v>2860000</v>
      </c>
      <c r="P7" s="2">
        <v>35001000</v>
      </c>
      <c r="S7" s="82"/>
    </row>
    <row r="8" spans="1:19">
      <c r="A8">
        <v>2022</v>
      </c>
      <c r="B8" t="s">
        <v>26</v>
      </c>
      <c r="C8" s="3" t="str">
        <f>_xlfn.XLOOKUP(B8, 'Revenue Codes'!$A$2:$A$99, 'Revenue Codes'!$B$2:$B$99, "")</f>
        <v>VAT</v>
      </c>
      <c r="D8" s="8">
        <v>16482000</v>
      </c>
      <c r="E8" s="8">
        <v>15261000</v>
      </c>
      <c r="F8" s="8">
        <v>16800000</v>
      </c>
      <c r="G8" s="8">
        <v>16435000</v>
      </c>
      <c r="H8" s="8">
        <v>17426000</v>
      </c>
      <c r="I8" s="8">
        <v>17489000</v>
      </c>
      <c r="J8" s="8">
        <v>18223000</v>
      </c>
      <c r="K8" s="8">
        <v>18508000</v>
      </c>
      <c r="L8" s="8">
        <v>19129000</v>
      </c>
      <c r="M8" s="8">
        <v>19536000</v>
      </c>
      <c r="N8" s="8">
        <v>20115000</v>
      </c>
      <c r="O8" s="8">
        <v>20596000</v>
      </c>
      <c r="P8" s="2">
        <v>216000000</v>
      </c>
      <c r="S8" s="82"/>
    </row>
    <row r="9" spans="1:19">
      <c r="A9">
        <v>2022</v>
      </c>
      <c r="B9" t="s">
        <v>28</v>
      </c>
      <c r="C9" s="3" t="str">
        <f>_xlfn.XLOOKUP(B9, 'Revenue Codes'!$A$2:$A$99, 'Revenue Codes'!$B$2:$B$99, "")</f>
        <v>Cigarette</v>
      </c>
      <c r="D9" s="8">
        <v>7567000</v>
      </c>
      <c r="E9" s="8">
        <v>8834000</v>
      </c>
      <c r="F9" s="8">
        <v>9068000</v>
      </c>
      <c r="G9" s="8">
        <v>9150000</v>
      </c>
      <c r="H9" s="8">
        <v>9212000</v>
      </c>
      <c r="I9" s="8">
        <v>9272000</v>
      </c>
      <c r="J9" s="8">
        <v>9331000</v>
      </c>
      <c r="K9" s="8">
        <v>9392000</v>
      </c>
      <c r="L9" s="8">
        <v>9452000</v>
      </c>
      <c r="M9" s="8">
        <v>9513000</v>
      </c>
      <c r="N9" s="8">
        <v>9574000</v>
      </c>
      <c r="O9" s="8">
        <v>9636000</v>
      </c>
      <c r="P9" s="2">
        <v>110001000</v>
      </c>
      <c r="S9" s="82"/>
    </row>
    <row r="10" spans="1:19">
      <c r="A10">
        <v>2022</v>
      </c>
      <c r="B10" t="s">
        <v>30</v>
      </c>
      <c r="C10" s="3" t="str">
        <f>_xlfn.XLOOKUP(B10, 'Revenue Codes'!$A$2:$A$99, 'Revenue Codes'!$B$2:$B$99, "")</f>
        <v>Petroleum Products</v>
      </c>
      <c r="D10" s="8">
        <v>2896000</v>
      </c>
      <c r="E10" s="8">
        <v>5691000</v>
      </c>
      <c r="F10" s="8">
        <v>5046000</v>
      </c>
      <c r="G10" s="8">
        <v>5008000</v>
      </c>
      <c r="H10" s="8">
        <v>4892000</v>
      </c>
      <c r="I10" s="8">
        <v>4790000</v>
      </c>
      <c r="J10" s="8">
        <v>4688000</v>
      </c>
      <c r="K10" s="8">
        <v>4588000</v>
      </c>
      <c r="L10" s="8">
        <v>4491000</v>
      </c>
      <c r="M10" s="8">
        <v>4396000</v>
      </c>
      <c r="N10" s="8">
        <v>4302000</v>
      </c>
      <c r="O10" s="8">
        <v>4211000</v>
      </c>
      <c r="P10" s="2">
        <v>54999000</v>
      </c>
      <c r="S10" s="82"/>
    </row>
    <row r="11" spans="1:19">
      <c r="A11">
        <v>2022</v>
      </c>
      <c r="B11" t="s">
        <v>31</v>
      </c>
      <c r="C11" s="3" t="str">
        <f>_xlfn.XLOOKUP(B11, 'Revenue Codes'!$A$2:$A$99, 'Revenue Codes'!$B$2:$B$99, "")</f>
        <v>Motor Vehicles</v>
      </c>
      <c r="D11" s="8">
        <v>1480000</v>
      </c>
      <c r="E11" s="8">
        <v>2319000</v>
      </c>
      <c r="F11" s="8">
        <v>1061000</v>
      </c>
      <c r="G11" s="8">
        <v>1480000</v>
      </c>
      <c r="H11" s="8">
        <v>1110000</v>
      </c>
      <c r="I11" s="8">
        <v>1529000</v>
      </c>
      <c r="J11" s="8">
        <v>1258000</v>
      </c>
      <c r="K11" s="8">
        <v>1283000</v>
      </c>
      <c r="L11" s="8">
        <v>1334000</v>
      </c>
      <c r="M11" s="8">
        <v>1568000</v>
      </c>
      <c r="N11" s="8">
        <v>1727000</v>
      </c>
      <c r="O11" s="8">
        <v>1850000</v>
      </c>
      <c r="P11" s="2">
        <v>17999000</v>
      </c>
      <c r="S11" s="83"/>
    </row>
    <row r="12" spans="1:19">
      <c r="A12">
        <v>2022</v>
      </c>
      <c r="B12" t="s">
        <v>32</v>
      </c>
      <c r="C12" s="3" t="str">
        <f>_xlfn.XLOOKUP(B12, 'Revenue Codes'!$A$2:$A$99, 'Revenue Codes'!$B$2:$B$99, "")</f>
        <v>Excise (Other)</v>
      </c>
      <c r="D12" s="8">
        <v>491000</v>
      </c>
      <c r="E12" s="8">
        <v>491000</v>
      </c>
      <c r="F12" s="8">
        <v>491000</v>
      </c>
      <c r="G12" s="8">
        <v>491000</v>
      </c>
      <c r="H12" s="8">
        <v>491000</v>
      </c>
      <c r="I12" s="8">
        <v>491000</v>
      </c>
      <c r="J12" s="8">
        <v>438000</v>
      </c>
      <c r="K12" s="8">
        <v>511000</v>
      </c>
      <c r="L12" s="8">
        <v>483000</v>
      </c>
      <c r="M12" s="8">
        <v>494000</v>
      </c>
      <c r="N12" s="8">
        <v>490000</v>
      </c>
      <c r="O12" s="8">
        <v>639000</v>
      </c>
      <c r="P12" s="2">
        <v>6001000</v>
      </c>
    </row>
    <row r="13" spans="1:19">
      <c r="A13">
        <v>2022</v>
      </c>
      <c r="B13" t="s">
        <v>35</v>
      </c>
      <c r="C13" s="3" t="str">
        <f>_xlfn.XLOOKUP(B13, 'Revenue Codes'!$A$2:$A$99, 'Revenue Codes'!$B$2:$B$99, "")</f>
        <v>VEL</v>
      </c>
      <c r="D13" s="8">
        <v>12000</v>
      </c>
      <c r="E13" s="8">
        <v>11000</v>
      </c>
      <c r="F13" s="8">
        <v>10000</v>
      </c>
      <c r="G13" s="8">
        <v>10000</v>
      </c>
      <c r="H13" s="8">
        <v>9000</v>
      </c>
      <c r="I13" s="8">
        <v>9000</v>
      </c>
      <c r="J13" s="8">
        <v>9000</v>
      </c>
      <c r="K13" s="8">
        <v>8000</v>
      </c>
      <c r="L13" s="8">
        <v>8000</v>
      </c>
      <c r="M13" s="8">
        <v>7000</v>
      </c>
      <c r="N13" s="8">
        <v>7000</v>
      </c>
      <c r="O13" s="8">
        <v>7000</v>
      </c>
      <c r="P13" s="2">
        <v>107000</v>
      </c>
    </row>
    <row r="14" spans="1:19">
      <c r="A14">
        <v>2022</v>
      </c>
      <c r="B14" t="s">
        <v>25</v>
      </c>
      <c r="C14" s="3" t="str">
        <f>_xlfn.XLOOKUP(B14, 'Revenue Codes'!$A$2:$A$99, 'Revenue Codes'!$B$2:$B$99, "")</f>
        <v>LXT</v>
      </c>
      <c r="D14" s="8">
        <v>49000</v>
      </c>
      <c r="E14" s="8">
        <v>37000</v>
      </c>
      <c r="F14" s="8">
        <v>49000</v>
      </c>
      <c r="G14" s="8">
        <v>37000</v>
      </c>
      <c r="H14" s="8">
        <v>59000</v>
      </c>
      <c r="I14" s="8">
        <v>70000</v>
      </c>
      <c r="J14" s="8">
        <v>86000</v>
      </c>
      <c r="K14" s="8">
        <v>98000</v>
      </c>
      <c r="L14" s="8">
        <v>112000</v>
      </c>
      <c r="M14" s="8">
        <v>132000</v>
      </c>
      <c r="N14" s="8">
        <v>141000</v>
      </c>
      <c r="O14" s="8">
        <v>132000</v>
      </c>
      <c r="P14" s="2">
        <v>1002000</v>
      </c>
    </row>
    <row r="15" spans="1:19">
      <c r="A15">
        <v>2022</v>
      </c>
      <c r="B15" t="s">
        <v>33</v>
      </c>
      <c r="C15" s="3" t="str">
        <f>_xlfn.XLOOKUP(B15, 'Revenue Codes'!$A$2:$A$99, 'Revenue Codes'!$B$2:$B$99, "")</f>
        <v>NBT</v>
      </c>
      <c r="D15" s="8"/>
      <c r="E15" s="8"/>
      <c r="F15" s="8"/>
      <c r="G15" s="8"/>
      <c r="H15" s="8"/>
      <c r="I15" s="8"/>
      <c r="J15" s="8"/>
      <c r="K15" s="8"/>
      <c r="L15" s="8"/>
      <c r="M15" s="8"/>
      <c r="N15" s="8"/>
      <c r="O15" s="8"/>
      <c r="P15" s="2"/>
    </row>
    <row r="16" spans="1:19">
      <c r="A16">
        <v>2022</v>
      </c>
      <c r="B16" t="s">
        <v>44</v>
      </c>
      <c r="C16" s="3" t="str">
        <f>_xlfn.XLOOKUP(B16, 'Revenue Codes'!$A$2:$A$99, 'Revenue Codes'!$B$2:$B$99, "")</f>
        <v>SSCL</v>
      </c>
      <c r="D16" s="8"/>
      <c r="E16" s="8"/>
      <c r="F16" s="8"/>
      <c r="G16" s="8"/>
      <c r="H16" s="8"/>
      <c r="I16" s="8"/>
      <c r="J16" s="8"/>
      <c r="K16" s="8"/>
      <c r="L16" s="8"/>
      <c r="M16" s="8">
        <v>2500000</v>
      </c>
      <c r="N16" s="8">
        <v>2500000</v>
      </c>
      <c r="O16" s="8">
        <v>2500000</v>
      </c>
      <c r="P16" s="2">
        <v>7500000</v>
      </c>
    </row>
    <row r="17" spans="1:16">
      <c r="A17">
        <v>2022</v>
      </c>
      <c r="B17" t="s">
        <v>36</v>
      </c>
      <c r="C17" s="3" t="str">
        <f>_xlfn.XLOOKUP(B17, 'Revenue Codes'!$A$2:$A$99, 'Revenue Codes'!$B$2:$B$99, "")</f>
        <v>ESC</v>
      </c>
      <c r="D17" s="8"/>
      <c r="E17" s="8"/>
      <c r="F17" s="8"/>
      <c r="G17" s="8"/>
      <c r="H17" s="8"/>
      <c r="I17" s="8"/>
      <c r="J17" s="8"/>
      <c r="K17" s="8"/>
      <c r="L17" s="8"/>
      <c r="M17" s="8"/>
      <c r="N17" s="8"/>
      <c r="O17" s="8"/>
      <c r="P17" s="2"/>
    </row>
    <row r="18" spans="1:16">
      <c r="A18">
        <v>2022</v>
      </c>
      <c r="B18" t="s">
        <v>37</v>
      </c>
      <c r="C18" s="3" t="str">
        <f>_xlfn.XLOOKUP(B18, 'Revenue Codes'!$A$2:$A$99, 'Revenue Codes'!$B$2:$B$99, "")</f>
        <v>Sales of Garment</v>
      </c>
      <c r="D18" s="8">
        <v>8000</v>
      </c>
      <c r="E18" s="8">
        <v>13000</v>
      </c>
      <c r="F18" s="8">
        <v>13000</v>
      </c>
      <c r="G18" s="8">
        <v>13000</v>
      </c>
      <c r="H18" s="8">
        <v>13000</v>
      </c>
      <c r="I18" s="8">
        <v>13000</v>
      </c>
      <c r="J18" s="8">
        <v>13000</v>
      </c>
      <c r="K18" s="8">
        <v>13000</v>
      </c>
      <c r="L18" s="8">
        <v>13000</v>
      </c>
      <c r="M18" s="8">
        <v>13000</v>
      </c>
      <c r="N18" s="8">
        <v>13000</v>
      </c>
      <c r="O18" s="8">
        <v>13000</v>
      </c>
      <c r="P18" s="2">
        <v>151000</v>
      </c>
    </row>
    <row r="19" spans="1:16">
      <c r="A19">
        <v>2022</v>
      </c>
      <c r="B19" t="s">
        <v>38</v>
      </c>
      <c r="C19" s="3" t="str">
        <f>_xlfn.XLOOKUP(B19, 'Revenue Codes'!$A$2:$A$99, 'Revenue Codes'!$B$2:$B$99, "")</f>
        <v>Fine &amp; Forfeits</v>
      </c>
      <c r="D19" s="8">
        <v>82000</v>
      </c>
      <c r="E19" s="8">
        <v>178000</v>
      </c>
      <c r="F19" s="8">
        <v>181000</v>
      </c>
      <c r="G19" s="8">
        <v>178000</v>
      </c>
      <c r="H19" s="8">
        <v>181000</v>
      </c>
      <c r="I19" s="8">
        <v>179000</v>
      </c>
      <c r="J19" s="8">
        <v>180000</v>
      </c>
      <c r="K19" s="8">
        <v>179000</v>
      </c>
      <c r="L19" s="8">
        <v>180000</v>
      </c>
      <c r="M19" s="8">
        <v>179000</v>
      </c>
      <c r="N19" s="8">
        <v>180000</v>
      </c>
      <c r="O19" s="8">
        <v>179000</v>
      </c>
      <c r="P19" s="2">
        <v>2056000</v>
      </c>
    </row>
    <row r="20" spans="1:16">
      <c r="A20">
        <v>2022</v>
      </c>
      <c r="B20" t="s">
        <v>39</v>
      </c>
      <c r="C20" s="3" t="str">
        <f>_xlfn.XLOOKUP(B20, 'Revenue Codes'!$A$2:$A$99, 'Revenue Codes'!$B$2:$B$99, "")</f>
        <v>Sundris &amp; Others</v>
      </c>
      <c r="D20" s="8">
        <v>14000</v>
      </c>
      <c r="E20" s="8">
        <v>14000</v>
      </c>
      <c r="F20" s="8">
        <v>14000</v>
      </c>
      <c r="G20" s="8">
        <v>13000</v>
      </c>
      <c r="H20" s="8">
        <v>13000</v>
      </c>
      <c r="I20" s="8">
        <v>13000</v>
      </c>
      <c r="J20" s="8">
        <v>12000</v>
      </c>
      <c r="K20" s="8">
        <v>12000</v>
      </c>
      <c r="L20" s="8">
        <v>12000</v>
      </c>
      <c r="M20" s="8">
        <v>12000</v>
      </c>
      <c r="N20" s="8">
        <v>11000</v>
      </c>
      <c r="O20" s="8">
        <v>11000</v>
      </c>
      <c r="P20" s="2">
        <v>151000</v>
      </c>
    </row>
    <row r="21" spans="1:16">
      <c r="A21">
        <v>2022</v>
      </c>
      <c r="B21" t="s">
        <v>40</v>
      </c>
      <c r="C21" s="3" t="str">
        <f>_xlfn.XLOOKUP(B21, 'Revenue Codes'!$A$2:$A$99, 'Revenue Codes'!$B$2:$B$99, "")</f>
        <v>Other Receipts</v>
      </c>
      <c r="D21" s="8">
        <v>15000</v>
      </c>
      <c r="E21" s="8">
        <v>16000</v>
      </c>
      <c r="F21" s="8">
        <v>16000</v>
      </c>
      <c r="G21" s="8">
        <v>16000</v>
      </c>
      <c r="H21" s="8">
        <v>17000</v>
      </c>
      <c r="I21" s="8">
        <v>17000</v>
      </c>
      <c r="J21" s="8">
        <v>17000</v>
      </c>
      <c r="K21" s="8">
        <v>17000</v>
      </c>
      <c r="L21" s="8">
        <v>17000</v>
      </c>
      <c r="M21" s="8">
        <v>17000</v>
      </c>
      <c r="N21" s="8">
        <v>17000</v>
      </c>
      <c r="O21" s="8">
        <v>17000</v>
      </c>
      <c r="P21" s="2">
        <v>199000</v>
      </c>
    </row>
    <row r="22" spans="1:16">
      <c r="A22">
        <v>2024</v>
      </c>
      <c r="B22" t="s">
        <v>17</v>
      </c>
      <c r="C22" s="3" t="str">
        <f>_xlfn.XLOOKUP(B22, 'Revenue Codes'!$A$2:$A$99, 'Revenue Codes'!$B$2:$B$99, "")</f>
        <v xml:space="preserve">Import Duty </v>
      </c>
      <c r="D22" s="8">
        <v>8495000</v>
      </c>
      <c r="E22" s="8">
        <v>14960000</v>
      </c>
      <c r="F22" s="8">
        <v>11651000</v>
      </c>
      <c r="G22" s="8">
        <v>8578000</v>
      </c>
      <c r="H22" s="8">
        <v>12189000</v>
      </c>
      <c r="I22" s="8">
        <v>12655000</v>
      </c>
      <c r="J22" s="8">
        <v>7087000</v>
      </c>
      <c r="K22" s="8">
        <v>26869000</v>
      </c>
      <c r="L22" s="8">
        <v>15645000</v>
      </c>
      <c r="M22" s="8">
        <v>13640000</v>
      </c>
      <c r="N22" s="8">
        <v>22665000</v>
      </c>
      <c r="O22" s="8">
        <v>20566000</v>
      </c>
      <c r="P22" s="2">
        <v>175000000</v>
      </c>
    </row>
    <row r="23" spans="1:16">
      <c r="A23">
        <v>2024</v>
      </c>
      <c r="B23" t="s">
        <v>19</v>
      </c>
      <c r="C23" s="3" t="str">
        <f>_xlfn.XLOOKUP(B23, 'Revenue Codes'!$A$2:$A$99, 'Revenue Codes'!$B$2:$B$99, "")</f>
        <v xml:space="preserve">Export Duty </v>
      </c>
      <c r="D23" s="8">
        <v>1000</v>
      </c>
      <c r="E23" s="8">
        <v>1000</v>
      </c>
      <c r="F23" s="8">
        <v>3000</v>
      </c>
      <c r="G23" s="8">
        <v>3000</v>
      </c>
      <c r="H23" s="8">
        <v>4000</v>
      </c>
      <c r="I23" s="8">
        <v>4000</v>
      </c>
      <c r="J23" s="8">
        <v>3000</v>
      </c>
      <c r="K23" s="8">
        <v>3000</v>
      </c>
      <c r="L23" s="8">
        <v>5000</v>
      </c>
      <c r="M23" s="8">
        <v>3000</v>
      </c>
      <c r="N23" s="8">
        <v>2000</v>
      </c>
      <c r="O23" s="8">
        <v>3000</v>
      </c>
      <c r="P23" s="2">
        <v>35000</v>
      </c>
    </row>
    <row r="24" spans="1:16">
      <c r="A24">
        <v>2024</v>
      </c>
      <c r="B24" t="s">
        <v>20</v>
      </c>
      <c r="C24" s="3" t="str">
        <f>_xlfn.XLOOKUP(B24, 'Revenue Codes'!$A$2:$A$99, 'Revenue Codes'!$B$2:$B$99, "")</f>
        <v xml:space="preserve">PAL </v>
      </c>
      <c r="D24" s="8">
        <v>13731000</v>
      </c>
      <c r="E24" s="8">
        <v>19891000</v>
      </c>
      <c r="F24" s="8">
        <v>15831000</v>
      </c>
      <c r="G24" s="8">
        <v>11831000</v>
      </c>
      <c r="H24" s="8">
        <v>13407000</v>
      </c>
      <c r="I24" s="8">
        <v>13823000</v>
      </c>
      <c r="J24" s="8">
        <v>12918000</v>
      </c>
      <c r="K24" s="8">
        <v>12062000</v>
      </c>
      <c r="L24" s="8">
        <v>15045000</v>
      </c>
      <c r="M24" s="8">
        <v>15531000</v>
      </c>
      <c r="N24" s="8">
        <v>15902000</v>
      </c>
      <c r="O24" s="8">
        <v>15027000</v>
      </c>
      <c r="P24" s="2">
        <v>174999000</v>
      </c>
    </row>
    <row r="25" spans="1:16">
      <c r="A25">
        <v>2024</v>
      </c>
      <c r="B25" t="s">
        <v>21</v>
      </c>
      <c r="C25" s="3" t="str">
        <f>_xlfn.XLOOKUP(B25, 'Revenue Codes'!$A$2:$A$99, 'Revenue Codes'!$B$2:$B$99, "")</f>
        <v xml:space="preserve">Cess (Import) </v>
      </c>
      <c r="D25" s="8">
        <v>7188000</v>
      </c>
      <c r="E25" s="8">
        <v>6036000</v>
      </c>
      <c r="F25" s="8">
        <v>3422000</v>
      </c>
      <c r="G25" s="8">
        <v>4916000</v>
      </c>
      <c r="H25" s="8">
        <v>6055000</v>
      </c>
      <c r="I25" s="8">
        <v>6132000</v>
      </c>
      <c r="J25" s="8">
        <v>5422000</v>
      </c>
      <c r="K25" s="8">
        <v>2862000</v>
      </c>
      <c r="L25" s="8">
        <v>6012000</v>
      </c>
      <c r="M25" s="8">
        <v>2862000</v>
      </c>
      <c r="N25" s="8">
        <v>3042000</v>
      </c>
      <c r="O25" s="8">
        <v>4051000</v>
      </c>
      <c r="P25" s="2">
        <v>58000000</v>
      </c>
    </row>
    <row r="26" spans="1:16">
      <c r="A26">
        <v>2024</v>
      </c>
      <c r="B26" t="s">
        <v>22</v>
      </c>
      <c r="C26" s="3" t="str">
        <f>_xlfn.XLOOKUP(B26, 'Revenue Codes'!$A$2:$A$99, 'Revenue Codes'!$B$2:$B$99, "")</f>
        <v>Cess (Export)</v>
      </c>
      <c r="D26" s="8">
        <v>140000</v>
      </c>
      <c r="E26" s="8">
        <v>207000</v>
      </c>
      <c r="F26" s="8">
        <v>158000</v>
      </c>
      <c r="G26" s="8">
        <v>112000</v>
      </c>
      <c r="H26" s="8">
        <v>169000</v>
      </c>
      <c r="I26" s="8">
        <v>183000</v>
      </c>
      <c r="J26" s="8">
        <v>141000</v>
      </c>
      <c r="K26" s="8">
        <v>220000</v>
      </c>
      <c r="L26" s="8">
        <v>193000</v>
      </c>
      <c r="M26" s="8">
        <v>115000</v>
      </c>
      <c r="N26" s="8">
        <v>130000</v>
      </c>
      <c r="O26" s="8">
        <v>232000</v>
      </c>
      <c r="P26" s="2">
        <v>2000000</v>
      </c>
    </row>
    <row r="27" spans="1:16">
      <c r="A27">
        <v>2024</v>
      </c>
      <c r="B27" t="s">
        <v>24</v>
      </c>
      <c r="C27" s="3" t="str">
        <f>_xlfn.XLOOKUP(B27, 'Revenue Codes'!$A$2:$A$99, 'Revenue Codes'!$B$2:$B$99, "")</f>
        <v>SCL</v>
      </c>
      <c r="D27" s="8">
        <v>6753000</v>
      </c>
      <c r="E27" s="8">
        <v>5215000</v>
      </c>
      <c r="F27" s="8">
        <v>12584000</v>
      </c>
      <c r="G27" s="8">
        <v>6652000</v>
      </c>
      <c r="H27" s="8">
        <v>9624000</v>
      </c>
      <c r="I27" s="8">
        <v>10237000</v>
      </c>
      <c r="J27" s="8">
        <v>10384000</v>
      </c>
      <c r="K27" s="8">
        <v>8943000</v>
      </c>
      <c r="L27" s="8">
        <v>9955000</v>
      </c>
      <c r="M27" s="8">
        <v>10446000</v>
      </c>
      <c r="N27" s="8">
        <v>2879000</v>
      </c>
      <c r="O27" s="8">
        <v>1329000</v>
      </c>
      <c r="P27" s="2">
        <v>95001000</v>
      </c>
    </row>
    <row r="28" spans="1:16">
      <c r="A28">
        <v>2024</v>
      </c>
      <c r="B28" t="s">
        <v>26</v>
      </c>
      <c r="C28" s="3" t="str">
        <f>_xlfn.XLOOKUP(B28, 'Revenue Codes'!$A$2:$A$99, 'Revenue Codes'!$B$2:$B$99, "")</f>
        <v>VAT</v>
      </c>
      <c r="D28" s="8">
        <v>51795000</v>
      </c>
      <c r="E28" s="8">
        <v>45687000</v>
      </c>
      <c r="F28" s="8">
        <v>50758000</v>
      </c>
      <c r="G28" s="8">
        <v>44964000</v>
      </c>
      <c r="H28" s="8">
        <v>54219000</v>
      </c>
      <c r="I28" s="8">
        <v>51833000</v>
      </c>
      <c r="J28" s="8">
        <v>59099000</v>
      </c>
      <c r="K28" s="8">
        <v>56181000</v>
      </c>
      <c r="L28" s="8">
        <v>56431000</v>
      </c>
      <c r="M28" s="8">
        <v>59957000</v>
      </c>
      <c r="N28" s="8">
        <v>66244000</v>
      </c>
      <c r="O28" s="8">
        <v>62833000</v>
      </c>
      <c r="P28" s="2">
        <v>660001000</v>
      </c>
    </row>
    <row r="29" spans="1:16">
      <c r="A29">
        <v>2024</v>
      </c>
      <c r="B29" t="s">
        <v>45</v>
      </c>
      <c r="C29" s="3" t="str">
        <f>_xlfn.XLOOKUP(B29, 'Revenue Codes'!$A$2:$A$99, 'Revenue Codes'!$B$2:$B$99, "")</f>
        <v>SSL</v>
      </c>
      <c r="D29" s="8">
        <v>5004000</v>
      </c>
      <c r="E29" s="8">
        <v>3835000</v>
      </c>
      <c r="F29" s="8">
        <v>4080000</v>
      </c>
      <c r="G29" s="8">
        <v>4036000</v>
      </c>
      <c r="H29" s="8">
        <v>6153000</v>
      </c>
      <c r="I29" s="8">
        <v>5852000</v>
      </c>
      <c r="J29" s="8">
        <v>4593000</v>
      </c>
      <c r="K29" s="8">
        <v>3790000</v>
      </c>
      <c r="L29" s="8">
        <v>4867000</v>
      </c>
      <c r="M29" s="8">
        <v>4486000</v>
      </c>
      <c r="N29" s="8">
        <v>4281000</v>
      </c>
      <c r="O29" s="8">
        <v>4023000</v>
      </c>
      <c r="P29" s="2">
        <v>55000000</v>
      </c>
    </row>
    <row r="30" spans="1:16">
      <c r="A30">
        <v>2024</v>
      </c>
      <c r="B30" t="s">
        <v>28</v>
      </c>
      <c r="C30" s="3" t="str">
        <f>_xlfn.XLOOKUP(B30, 'Revenue Codes'!$A$2:$A$99, 'Revenue Codes'!$B$2:$B$99, "")</f>
        <v>Cigarette</v>
      </c>
      <c r="D30" s="8">
        <v>11890000</v>
      </c>
      <c r="E30" s="8">
        <v>11917000</v>
      </c>
      <c r="F30" s="8">
        <v>11917000</v>
      </c>
      <c r="G30" s="8">
        <v>11917000</v>
      </c>
      <c r="H30" s="8">
        <v>11917000</v>
      </c>
      <c r="I30" s="8">
        <v>11917000</v>
      </c>
      <c r="J30" s="8">
        <v>11917000</v>
      </c>
      <c r="K30" s="8">
        <v>11917000</v>
      </c>
      <c r="L30" s="8">
        <v>11917000</v>
      </c>
      <c r="M30" s="8">
        <v>11917000</v>
      </c>
      <c r="N30" s="8">
        <v>11917000</v>
      </c>
      <c r="O30" s="8">
        <v>11940000</v>
      </c>
      <c r="P30" s="2">
        <v>143000000</v>
      </c>
    </row>
    <row r="31" spans="1:16">
      <c r="A31">
        <v>2024</v>
      </c>
      <c r="B31" t="s">
        <v>30</v>
      </c>
      <c r="C31" s="3" t="str">
        <f>_xlfn.XLOOKUP(B31, 'Revenue Codes'!$A$2:$A$99, 'Revenue Codes'!$B$2:$B$99, "")</f>
        <v>Petroleum Products</v>
      </c>
      <c r="D31" s="8">
        <v>10173000</v>
      </c>
      <c r="E31" s="8">
        <v>9336000</v>
      </c>
      <c r="F31" s="8">
        <v>6710000</v>
      </c>
      <c r="G31" s="8">
        <v>4273000</v>
      </c>
      <c r="H31" s="8">
        <v>4680000</v>
      </c>
      <c r="I31" s="8">
        <v>3991000</v>
      </c>
      <c r="J31" s="8">
        <v>10661000</v>
      </c>
      <c r="K31" s="8">
        <v>10020000</v>
      </c>
      <c r="L31" s="8">
        <v>15773000</v>
      </c>
      <c r="M31" s="8">
        <v>23674000</v>
      </c>
      <c r="N31" s="8">
        <v>16229000</v>
      </c>
      <c r="O31" s="8">
        <v>19480000</v>
      </c>
      <c r="P31" s="2">
        <v>135000000</v>
      </c>
    </row>
    <row r="32" spans="1:16">
      <c r="A32">
        <v>2024</v>
      </c>
      <c r="B32" t="s">
        <v>31</v>
      </c>
      <c r="C32" s="3" t="str">
        <f>_xlfn.XLOOKUP(B32, 'Revenue Codes'!$A$2:$A$99, 'Revenue Codes'!$B$2:$B$99, "")</f>
        <v>Motor Vehicles</v>
      </c>
      <c r="D32" s="8">
        <v>167000</v>
      </c>
      <c r="E32" s="8">
        <v>681000</v>
      </c>
      <c r="F32" s="8">
        <v>385000</v>
      </c>
      <c r="G32" s="8">
        <v>4324000</v>
      </c>
      <c r="H32" s="8">
        <v>3593000</v>
      </c>
      <c r="I32" s="8">
        <v>8459000</v>
      </c>
      <c r="J32" s="8">
        <v>2761000</v>
      </c>
      <c r="K32" s="8">
        <v>440000</v>
      </c>
      <c r="L32" s="8">
        <v>3598000</v>
      </c>
      <c r="M32" s="8">
        <v>4476000</v>
      </c>
      <c r="N32" s="8">
        <v>651000</v>
      </c>
      <c r="O32" s="8">
        <v>465000</v>
      </c>
      <c r="P32" s="2">
        <v>30000000</v>
      </c>
    </row>
    <row r="33" spans="1:16">
      <c r="A33">
        <v>2024</v>
      </c>
      <c r="B33" t="s">
        <v>32</v>
      </c>
      <c r="C33" s="3" t="str">
        <f>_xlfn.XLOOKUP(B33, 'Revenue Codes'!$A$2:$A$99, 'Revenue Codes'!$B$2:$B$99, "")</f>
        <v>Excise (Other)</v>
      </c>
      <c r="D33" s="8">
        <v>628000</v>
      </c>
      <c r="E33" s="8">
        <v>332000</v>
      </c>
      <c r="F33" s="8">
        <v>191000</v>
      </c>
      <c r="G33" s="8">
        <v>359000</v>
      </c>
      <c r="H33" s="8">
        <v>475000</v>
      </c>
      <c r="I33" s="8">
        <v>125000</v>
      </c>
      <c r="J33" s="8">
        <v>763000</v>
      </c>
      <c r="K33" s="8">
        <v>325000</v>
      </c>
      <c r="L33" s="8">
        <v>144000</v>
      </c>
      <c r="M33" s="8">
        <v>431000</v>
      </c>
      <c r="N33" s="8">
        <v>593000</v>
      </c>
      <c r="O33" s="8">
        <v>634000</v>
      </c>
      <c r="P33" s="2">
        <v>5000000</v>
      </c>
    </row>
    <row r="34" spans="1:16">
      <c r="A34">
        <v>2024</v>
      </c>
      <c r="B34" t="s">
        <v>35</v>
      </c>
      <c r="C34" s="3" t="str">
        <f>_xlfn.XLOOKUP(B34, 'Revenue Codes'!$A$2:$A$99, 'Revenue Codes'!$B$2:$B$99, "")</f>
        <v>VEL</v>
      </c>
      <c r="D34" s="8">
        <v>3000</v>
      </c>
      <c r="E34" s="8">
        <v>21000</v>
      </c>
      <c r="F34" s="8">
        <v>10000</v>
      </c>
      <c r="G34" s="8">
        <v>12000</v>
      </c>
      <c r="H34" s="8">
        <v>15000</v>
      </c>
      <c r="I34" s="8">
        <v>15000</v>
      </c>
      <c r="J34" s="8">
        <v>12000</v>
      </c>
      <c r="K34" s="8">
        <v>18000</v>
      </c>
      <c r="L34" s="8">
        <v>15000</v>
      </c>
      <c r="M34" s="8">
        <v>12000</v>
      </c>
      <c r="N34" s="8">
        <v>15000</v>
      </c>
      <c r="O34" s="8">
        <v>17000</v>
      </c>
      <c r="P34" s="2">
        <v>165000</v>
      </c>
    </row>
    <row r="35" spans="1:16">
      <c r="A35">
        <v>2024</v>
      </c>
      <c r="B35" t="s">
        <v>33</v>
      </c>
      <c r="C35" s="3" t="str">
        <f>_xlfn.XLOOKUP(B35, 'Revenue Codes'!$A$2:$A$99, 'Revenue Codes'!$B$2:$B$99, "")</f>
        <v>NBT</v>
      </c>
      <c r="D35" s="8">
        <v>2000</v>
      </c>
      <c r="E35" s="8">
        <v>3000</v>
      </c>
      <c r="F35" s="8">
        <v>2000</v>
      </c>
      <c r="G35" s="8">
        <v>2000</v>
      </c>
      <c r="H35" s="8">
        <v>2000</v>
      </c>
      <c r="I35" s="8">
        <v>2000</v>
      </c>
      <c r="J35" s="8">
        <v>2000</v>
      </c>
      <c r="K35" s="8">
        <v>2000</v>
      </c>
      <c r="L35" s="8">
        <v>2000</v>
      </c>
      <c r="M35" s="8">
        <v>2000</v>
      </c>
      <c r="N35" s="8">
        <v>2000</v>
      </c>
      <c r="O35" s="8">
        <v>3000</v>
      </c>
      <c r="P35" s="2">
        <v>26000</v>
      </c>
    </row>
    <row r="36" spans="1:16">
      <c r="A36">
        <v>2024</v>
      </c>
      <c r="B36" t="s">
        <v>25</v>
      </c>
      <c r="C36" s="3" t="str">
        <f>_xlfn.XLOOKUP(B36, 'Revenue Codes'!$A$2:$A$99, 'Revenue Codes'!$B$2:$B$99, "")</f>
        <v>LXT</v>
      </c>
      <c r="D36" s="8">
        <v>167000</v>
      </c>
      <c r="E36" s="8">
        <v>166000</v>
      </c>
      <c r="F36" s="8">
        <v>167000</v>
      </c>
      <c r="G36" s="8">
        <v>166000</v>
      </c>
      <c r="H36" s="8">
        <v>167000</v>
      </c>
      <c r="I36" s="8">
        <v>167000</v>
      </c>
      <c r="J36" s="8">
        <v>167000</v>
      </c>
      <c r="K36" s="8">
        <v>166000</v>
      </c>
      <c r="L36" s="8">
        <v>167000</v>
      </c>
      <c r="M36" s="8">
        <v>167000</v>
      </c>
      <c r="N36" s="8">
        <v>166000</v>
      </c>
      <c r="O36" s="8">
        <v>167000</v>
      </c>
      <c r="P36" s="2">
        <v>2000000</v>
      </c>
    </row>
    <row r="37" spans="1:16">
      <c r="A37">
        <v>2024</v>
      </c>
      <c r="B37" t="s">
        <v>36</v>
      </c>
      <c r="C37" s="3" t="str">
        <f>_xlfn.XLOOKUP(B37, 'Revenue Codes'!$A$2:$A$99, 'Revenue Codes'!$B$2:$B$99, "")</f>
        <v>ESC</v>
      </c>
      <c r="D37" s="8">
        <v>1000</v>
      </c>
      <c r="E37" s="8">
        <v>1000</v>
      </c>
      <c r="F37" s="8">
        <v>1000</v>
      </c>
      <c r="G37" s="8">
        <v>1000</v>
      </c>
      <c r="H37" s="8">
        <v>1000</v>
      </c>
      <c r="I37" s="8">
        <v>1000</v>
      </c>
      <c r="J37" s="8">
        <v>1000</v>
      </c>
      <c r="K37" s="8">
        <v>1000</v>
      </c>
      <c r="L37" s="8">
        <v>1000</v>
      </c>
      <c r="M37" s="8">
        <v>1000</v>
      </c>
      <c r="N37" s="8">
        <v>1000</v>
      </c>
      <c r="O37" s="8">
        <v>1000</v>
      </c>
      <c r="P37" s="2">
        <v>12000</v>
      </c>
    </row>
    <row r="38" spans="1:16">
      <c r="A38">
        <v>2024</v>
      </c>
      <c r="B38" t="s">
        <v>39</v>
      </c>
      <c r="C38" s="3" t="str">
        <f>_xlfn.XLOOKUP(B38, 'Revenue Codes'!$A$2:$A$99, 'Revenue Codes'!$B$2:$B$99, "")</f>
        <v>Sundris &amp; Others</v>
      </c>
      <c r="D38" s="8">
        <v>33000</v>
      </c>
      <c r="E38" s="8">
        <v>33000</v>
      </c>
      <c r="F38" s="8">
        <v>32000</v>
      </c>
      <c r="G38" s="8">
        <v>33000</v>
      </c>
      <c r="H38" s="8">
        <v>32000</v>
      </c>
      <c r="I38" s="8">
        <v>33000</v>
      </c>
      <c r="J38" s="8">
        <v>33000</v>
      </c>
      <c r="K38" s="8">
        <v>33000</v>
      </c>
      <c r="L38" s="8">
        <v>33000</v>
      </c>
      <c r="M38" s="8">
        <v>32000</v>
      </c>
      <c r="N38" s="8">
        <v>33000</v>
      </c>
      <c r="O38" s="8">
        <v>33000</v>
      </c>
      <c r="P38" s="2">
        <v>393000</v>
      </c>
    </row>
    <row r="39" spans="1:16">
      <c r="A39">
        <v>2024</v>
      </c>
      <c r="B39" t="s">
        <v>38</v>
      </c>
      <c r="C39" s="3" t="str">
        <f>_xlfn.XLOOKUP(B39, 'Revenue Codes'!$A$2:$A$99, 'Revenue Codes'!$B$2:$B$99, "")</f>
        <v>Fine &amp; Forfeits</v>
      </c>
      <c r="D39" s="8">
        <v>125000</v>
      </c>
      <c r="E39" s="8">
        <v>125000</v>
      </c>
      <c r="F39" s="8">
        <v>125000</v>
      </c>
      <c r="G39" s="8">
        <v>125000</v>
      </c>
      <c r="H39" s="8">
        <v>125000</v>
      </c>
      <c r="I39" s="8">
        <v>125000</v>
      </c>
      <c r="J39" s="8">
        <v>125000</v>
      </c>
      <c r="K39" s="8">
        <v>125000</v>
      </c>
      <c r="L39" s="8">
        <v>125000</v>
      </c>
      <c r="M39" s="8">
        <v>125000</v>
      </c>
      <c r="N39" s="8">
        <v>125000</v>
      </c>
      <c r="O39" s="8">
        <v>125000</v>
      </c>
      <c r="P39" s="2">
        <v>1500000</v>
      </c>
    </row>
    <row r="40" spans="1:16">
      <c r="A40">
        <v>2024</v>
      </c>
      <c r="B40" t="s">
        <v>37</v>
      </c>
      <c r="C40" s="3" t="str">
        <f>_xlfn.XLOOKUP(B40, 'Revenue Codes'!$A$2:$A$99, 'Revenue Codes'!$B$2:$B$99, "")</f>
        <v>Sales of Garment</v>
      </c>
      <c r="D40" s="8">
        <v>10000</v>
      </c>
      <c r="E40" s="8">
        <v>10000</v>
      </c>
      <c r="F40" s="8">
        <v>10000</v>
      </c>
      <c r="G40" s="8">
        <v>10000</v>
      </c>
      <c r="H40" s="8">
        <v>10000</v>
      </c>
      <c r="I40" s="8">
        <v>10000</v>
      </c>
      <c r="J40" s="8">
        <v>11000</v>
      </c>
      <c r="K40" s="8">
        <v>10000</v>
      </c>
      <c r="L40" s="8">
        <v>10000</v>
      </c>
      <c r="M40" s="8">
        <v>11000</v>
      </c>
      <c r="N40" s="8">
        <v>10000</v>
      </c>
      <c r="O40" s="8">
        <v>10000</v>
      </c>
      <c r="P40" s="2">
        <v>122000</v>
      </c>
    </row>
    <row r="41" spans="1:16">
      <c r="A41">
        <v>2024</v>
      </c>
      <c r="B41" t="s">
        <v>40</v>
      </c>
      <c r="C41" s="3" t="str">
        <f>_xlfn.XLOOKUP(B41, 'Revenue Codes'!$A$2:$A$99, 'Revenue Codes'!$B$2:$B$99, "")</f>
        <v>Other Receipts</v>
      </c>
      <c r="D41" s="8">
        <v>18000</v>
      </c>
      <c r="E41" s="8">
        <v>17000</v>
      </c>
      <c r="F41" s="8">
        <v>18000</v>
      </c>
      <c r="G41" s="8">
        <v>17000</v>
      </c>
      <c r="H41" s="8">
        <v>17000</v>
      </c>
      <c r="I41" s="8">
        <v>18000</v>
      </c>
      <c r="J41" s="8">
        <v>17000</v>
      </c>
      <c r="K41" s="8">
        <v>18000</v>
      </c>
      <c r="L41" s="8">
        <v>17000</v>
      </c>
      <c r="M41" s="8">
        <v>18000</v>
      </c>
      <c r="N41" s="8">
        <v>17000</v>
      </c>
      <c r="O41" s="8">
        <v>18000</v>
      </c>
      <c r="P41" s="2">
        <v>210000</v>
      </c>
    </row>
    <row r="42" spans="1:16">
      <c r="A42">
        <v>2025</v>
      </c>
      <c r="B42" t="s">
        <v>17</v>
      </c>
      <c r="C42" s="3" t="str">
        <f>_xlfn.XLOOKUP(B42, 'Revenue Codes'!$A$2:$A$99, 'Revenue Codes'!$B$2:$B$99, "")</f>
        <v xml:space="preserve">Import Duty </v>
      </c>
      <c r="D42" s="2">
        <v>9577000</v>
      </c>
      <c r="E42" s="2">
        <v>10766000</v>
      </c>
      <c r="F42" s="2">
        <v>11611000</v>
      </c>
      <c r="G42" s="2">
        <v>17294953</v>
      </c>
      <c r="H42" s="2">
        <v>21925625</v>
      </c>
      <c r="I42" s="2">
        <v>22534924</v>
      </c>
      <c r="J42" s="2">
        <v>23753522</v>
      </c>
      <c r="K42" s="2">
        <v>23144223</v>
      </c>
      <c r="L42" s="2">
        <v>22534924</v>
      </c>
      <c r="M42" s="2">
        <v>24972120</v>
      </c>
      <c r="N42" s="2">
        <v>25581418</v>
      </c>
      <c r="O42" s="2">
        <v>26304292</v>
      </c>
      <c r="P42" s="2">
        <f t="shared" ref="P3:P61" si="0">SUM(D42:O42)</f>
        <v>240000001</v>
      </c>
    </row>
    <row r="43" spans="1:16">
      <c r="A43">
        <v>2025</v>
      </c>
      <c r="B43" t="s">
        <v>19</v>
      </c>
      <c r="C43" s="3" t="str">
        <f>_xlfn.XLOOKUP(B43, 'Revenue Codes'!$A$2:$A$99, 'Revenue Codes'!$B$2:$B$99, "")</f>
        <v xml:space="preserve">Export Duty </v>
      </c>
      <c r="D43" s="2">
        <v>2000</v>
      </c>
      <c r="E43" s="2">
        <v>2000</v>
      </c>
      <c r="F43" s="2">
        <v>1000</v>
      </c>
      <c r="G43" s="2">
        <v>2245</v>
      </c>
      <c r="H43" s="2">
        <v>2845</v>
      </c>
      <c r="I43" s="2">
        <v>2925</v>
      </c>
      <c r="J43" s="2">
        <v>3083</v>
      </c>
      <c r="K43" s="2">
        <v>3004</v>
      </c>
      <c r="L43" s="2">
        <v>2925</v>
      </c>
      <c r="M43" s="2">
        <v>3241</v>
      </c>
      <c r="N43" s="2">
        <v>3320</v>
      </c>
      <c r="O43" s="2">
        <v>3414</v>
      </c>
      <c r="P43" s="2">
        <f t="shared" si="0"/>
        <v>32002</v>
      </c>
    </row>
    <row r="44" spans="1:16">
      <c r="A44">
        <v>2025</v>
      </c>
      <c r="B44" t="s">
        <v>20</v>
      </c>
      <c r="C44" s="3" t="str">
        <f>_xlfn.XLOOKUP(B44, 'Revenue Codes'!$A$2:$A$99, 'Revenue Codes'!$B$2:$B$99, "")</f>
        <v xml:space="preserve">PAL </v>
      </c>
      <c r="D44" s="2">
        <v>12895000</v>
      </c>
      <c r="E44" s="2">
        <v>13031000</v>
      </c>
      <c r="F44" s="2">
        <v>15367000</v>
      </c>
      <c r="G44" s="2">
        <v>11996424</v>
      </c>
      <c r="H44" s="2">
        <v>15195044</v>
      </c>
      <c r="I44" s="2">
        <v>15615915</v>
      </c>
      <c r="J44" s="2">
        <v>16457657</v>
      </c>
      <c r="K44" s="2">
        <v>16036786</v>
      </c>
      <c r="L44" s="2">
        <v>15615915</v>
      </c>
      <c r="M44" s="2">
        <v>17299399</v>
      </c>
      <c r="N44" s="2">
        <v>17720269</v>
      </c>
      <c r="O44" s="2">
        <v>17769591</v>
      </c>
      <c r="P44" s="2">
        <f t="shared" si="0"/>
        <v>185000000</v>
      </c>
    </row>
    <row r="45" spans="1:16">
      <c r="A45">
        <v>2025</v>
      </c>
      <c r="B45" t="s">
        <v>21</v>
      </c>
      <c r="C45" s="3" t="str">
        <f>_xlfn.XLOOKUP(B45, 'Revenue Codes'!$A$2:$A$99, 'Revenue Codes'!$B$2:$B$99, "")</f>
        <v xml:space="preserve">Cess (Import) </v>
      </c>
      <c r="D45" s="2">
        <v>7113000</v>
      </c>
      <c r="E45" s="2">
        <v>7404000</v>
      </c>
      <c r="F45" s="2">
        <v>6303000</v>
      </c>
      <c r="G45" s="2">
        <v>6399297</v>
      </c>
      <c r="H45" s="2">
        <v>8112795</v>
      </c>
      <c r="I45" s="2">
        <v>8338245</v>
      </c>
      <c r="J45" s="2">
        <v>8789143</v>
      </c>
      <c r="K45" s="2">
        <v>8563694</v>
      </c>
      <c r="L45" s="2">
        <v>8338245</v>
      </c>
      <c r="M45" s="2">
        <v>9240042</v>
      </c>
      <c r="N45" s="2">
        <v>9465491</v>
      </c>
      <c r="O45" s="2">
        <v>9733047</v>
      </c>
      <c r="P45" s="2">
        <f t="shared" si="0"/>
        <v>97799999</v>
      </c>
    </row>
    <row r="46" spans="1:16">
      <c r="A46">
        <v>2025</v>
      </c>
      <c r="B46" t="s">
        <v>22</v>
      </c>
      <c r="C46" s="3" t="str">
        <f>_xlfn.XLOOKUP(B46, 'Revenue Codes'!$A$2:$A$99, 'Revenue Codes'!$B$2:$B$99, "")</f>
        <v>Cess (Export)</v>
      </c>
      <c r="D46" s="2">
        <v>101000</v>
      </c>
      <c r="E46" s="2">
        <v>86000</v>
      </c>
      <c r="F46" s="2">
        <v>101000</v>
      </c>
      <c r="G46" s="2">
        <v>158945</v>
      </c>
      <c r="H46" s="2">
        <v>201503</v>
      </c>
      <c r="I46" s="2">
        <v>207102</v>
      </c>
      <c r="J46" s="2">
        <v>218301</v>
      </c>
      <c r="K46" s="2">
        <v>212702</v>
      </c>
      <c r="L46" s="2">
        <v>207102</v>
      </c>
      <c r="M46" s="2">
        <v>229501</v>
      </c>
      <c r="N46" s="2">
        <v>235100</v>
      </c>
      <c r="O46" s="2">
        <v>241744</v>
      </c>
      <c r="P46" s="2">
        <f t="shared" si="0"/>
        <v>2200000</v>
      </c>
    </row>
    <row r="47" spans="1:16">
      <c r="A47">
        <v>2025</v>
      </c>
      <c r="B47" t="s">
        <v>24</v>
      </c>
      <c r="C47" s="3" t="str">
        <f>_xlfn.XLOOKUP(B47, 'Revenue Codes'!$A$2:$A$99, 'Revenue Codes'!$B$2:$B$99, "")</f>
        <v>SCL</v>
      </c>
      <c r="D47" s="2">
        <v>19302000</v>
      </c>
      <c r="E47" s="2">
        <v>13129000</v>
      </c>
      <c r="F47" s="2">
        <v>15461000</v>
      </c>
      <c r="G47" s="2">
        <v>6493151</v>
      </c>
      <c r="H47" s="2">
        <v>8231673</v>
      </c>
      <c r="I47" s="2">
        <v>8460426</v>
      </c>
      <c r="J47" s="2">
        <v>8917932</v>
      </c>
      <c r="K47" s="2">
        <v>8689179</v>
      </c>
      <c r="L47" s="2">
        <v>8460426</v>
      </c>
      <c r="M47" s="2">
        <v>9375438</v>
      </c>
      <c r="N47" s="2">
        <v>9604068</v>
      </c>
      <c r="O47" s="2">
        <v>9875707</v>
      </c>
      <c r="P47" s="2">
        <f t="shared" si="0"/>
        <v>126000000</v>
      </c>
    </row>
    <row r="48" spans="1:16">
      <c r="A48">
        <v>2025</v>
      </c>
      <c r="B48" t="s">
        <v>26</v>
      </c>
      <c r="C48" s="3" t="str">
        <f>_xlfn.XLOOKUP(B48, 'Revenue Codes'!$A$2:$A$99, 'Revenue Codes'!$B$2:$B$99, "")</f>
        <v>VAT</v>
      </c>
      <c r="D48" s="2">
        <v>53082000</v>
      </c>
      <c r="E48" s="2">
        <v>49041000</v>
      </c>
      <c r="F48" s="2">
        <v>50346000</v>
      </c>
      <c r="G48" s="2">
        <v>52998224</v>
      </c>
      <c r="H48" s="2">
        <v>67188236</v>
      </c>
      <c r="I48" s="2">
        <v>69055462</v>
      </c>
      <c r="J48" s="2">
        <v>72789703</v>
      </c>
      <c r="K48" s="2">
        <v>70922471</v>
      </c>
      <c r="L48" s="2">
        <v>69055462</v>
      </c>
      <c r="M48" s="2">
        <v>76523945</v>
      </c>
      <c r="N48" s="2">
        <v>78391064</v>
      </c>
      <c r="O48" s="2">
        <v>80606434</v>
      </c>
      <c r="P48" s="2">
        <f t="shared" si="0"/>
        <v>790000001</v>
      </c>
    </row>
    <row r="49" spans="1:16">
      <c r="A49">
        <v>2025</v>
      </c>
      <c r="B49" t="s">
        <v>45</v>
      </c>
      <c r="C49" s="3" t="str">
        <f>_xlfn.XLOOKUP(B49, 'Revenue Codes'!$A$2:$A$99, 'Revenue Codes'!$B$2:$B$99, "")</f>
        <v>SSL</v>
      </c>
      <c r="D49" s="2">
        <v>5960000</v>
      </c>
      <c r="E49" s="2">
        <v>5412000</v>
      </c>
      <c r="F49" s="2">
        <v>4985000</v>
      </c>
      <c r="G49" s="2">
        <v>4791887</v>
      </c>
      <c r="H49" s="2">
        <v>6074901</v>
      </c>
      <c r="I49" s="2">
        <v>6243718</v>
      </c>
      <c r="J49" s="2">
        <v>6581239</v>
      </c>
      <c r="K49" s="2">
        <v>6412536</v>
      </c>
      <c r="L49" s="2">
        <v>6243718</v>
      </c>
      <c r="M49" s="2">
        <v>6918989</v>
      </c>
      <c r="N49" s="2">
        <v>7087806</v>
      </c>
      <c r="O49" s="2">
        <v>7288206</v>
      </c>
      <c r="P49" s="2">
        <f t="shared" si="0"/>
        <v>74000000</v>
      </c>
    </row>
    <row r="50" spans="1:16">
      <c r="A50">
        <v>2025</v>
      </c>
      <c r="B50" t="s">
        <v>28</v>
      </c>
      <c r="C50" s="3" t="str">
        <f>_xlfn.XLOOKUP(B50, 'Revenue Codes'!$A$2:$A$99, 'Revenue Codes'!$B$2:$B$99, "")</f>
        <v>Cigarette</v>
      </c>
      <c r="D50" s="2">
        <v>11426000</v>
      </c>
      <c r="E50" s="2">
        <v>8631000</v>
      </c>
      <c r="F50" s="2">
        <v>6330000</v>
      </c>
      <c r="G50" s="2">
        <v>8613393</v>
      </c>
      <c r="H50" s="2">
        <v>10919603</v>
      </c>
      <c r="I50" s="2">
        <v>11222944</v>
      </c>
      <c r="J50" s="2">
        <v>11829949</v>
      </c>
      <c r="K50" s="2">
        <v>11526501</v>
      </c>
      <c r="L50" s="2">
        <v>11223052</v>
      </c>
      <c r="M50" s="2">
        <v>12436727</v>
      </c>
      <c r="N50" s="2">
        <v>12740295</v>
      </c>
      <c r="O50" s="2">
        <v>13100535</v>
      </c>
      <c r="P50" s="2">
        <f t="shared" si="0"/>
        <v>129999999</v>
      </c>
    </row>
    <row r="51" spans="1:16">
      <c r="A51">
        <v>2025</v>
      </c>
      <c r="B51" t="s">
        <v>30</v>
      </c>
      <c r="C51" s="3" t="str">
        <f>_xlfn.XLOOKUP(B51, 'Revenue Codes'!$A$2:$A$99, 'Revenue Codes'!$B$2:$B$99, "")</f>
        <v>Petroleum Products</v>
      </c>
      <c r="D51" s="2">
        <v>15041000</v>
      </c>
      <c r="E51" s="2">
        <v>16526000</v>
      </c>
      <c r="F51" s="2">
        <v>16389000</v>
      </c>
      <c r="G51" s="2">
        <v>15133395</v>
      </c>
      <c r="H51" s="2">
        <v>19185317</v>
      </c>
      <c r="I51" s="2">
        <v>19718465</v>
      </c>
      <c r="J51" s="2">
        <v>20784760</v>
      </c>
      <c r="K51" s="2">
        <v>20251612</v>
      </c>
      <c r="L51" s="2">
        <v>19718465</v>
      </c>
      <c r="M51" s="2">
        <v>21851055</v>
      </c>
      <c r="N51" s="2">
        <v>22384202</v>
      </c>
      <c r="O51" s="2">
        <v>23016729</v>
      </c>
      <c r="P51" s="2">
        <f t="shared" si="0"/>
        <v>230000000</v>
      </c>
    </row>
    <row r="52" spans="1:16">
      <c r="A52">
        <v>2025</v>
      </c>
      <c r="B52" t="s">
        <v>31</v>
      </c>
      <c r="C52" s="3" t="str">
        <f>_xlfn.XLOOKUP(B52, 'Revenue Codes'!$A$2:$A$99, 'Revenue Codes'!$B$2:$B$99, "")</f>
        <v>Motor Vehicles</v>
      </c>
      <c r="D52" s="2">
        <v>6018000</v>
      </c>
      <c r="E52" s="2">
        <v>1140000</v>
      </c>
      <c r="F52" s="2">
        <v>10025000</v>
      </c>
      <c r="G52" s="2">
        <v>17691568</v>
      </c>
      <c r="H52" s="2">
        <v>22428433</v>
      </c>
      <c r="I52" s="2">
        <v>23051704</v>
      </c>
      <c r="J52" s="2">
        <v>24298248</v>
      </c>
      <c r="K52" s="2">
        <v>23674976</v>
      </c>
      <c r="L52" s="2">
        <v>23051596</v>
      </c>
      <c r="M52" s="2">
        <v>25544791</v>
      </c>
      <c r="N52" s="2">
        <v>26168062</v>
      </c>
      <c r="O52" s="2">
        <v>26907620</v>
      </c>
      <c r="P52" s="2">
        <f t="shared" si="0"/>
        <v>229999998</v>
      </c>
    </row>
    <row r="53" spans="1:16">
      <c r="A53">
        <v>2025</v>
      </c>
      <c r="B53" t="s">
        <v>32</v>
      </c>
      <c r="C53" s="3" t="str">
        <f>_xlfn.XLOOKUP(B53, 'Revenue Codes'!$A$2:$A$99, 'Revenue Codes'!$B$2:$B$99, "")</f>
        <v>Excise (Other)</v>
      </c>
      <c r="D53" s="2">
        <v>1384000</v>
      </c>
      <c r="E53" s="2">
        <v>732000</v>
      </c>
      <c r="F53" s="2">
        <v>2950000</v>
      </c>
      <c r="G53" s="2">
        <v>327035</v>
      </c>
      <c r="H53" s="2">
        <v>414598</v>
      </c>
      <c r="I53" s="2">
        <v>426119</v>
      </c>
      <c r="J53" s="2">
        <v>449162</v>
      </c>
      <c r="K53" s="2">
        <v>437641</v>
      </c>
      <c r="L53" s="2">
        <v>426119</v>
      </c>
      <c r="M53" s="2">
        <v>472205</v>
      </c>
      <c r="N53" s="2">
        <v>483726</v>
      </c>
      <c r="O53" s="2">
        <v>497395</v>
      </c>
      <c r="P53" s="2">
        <f t="shared" si="0"/>
        <v>9000000</v>
      </c>
    </row>
    <row r="54" spans="1:16">
      <c r="A54">
        <v>2025</v>
      </c>
      <c r="B54" t="s">
        <v>35</v>
      </c>
      <c r="C54" s="3" t="str">
        <f>_xlfn.XLOOKUP(B54, 'Revenue Codes'!$A$2:$A$99, 'Revenue Codes'!$B$2:$B$99, "")</f>
        <v>VEL</v>
      </c>
      <c r="D54" s="2">
        <v>24000</v>
      </c>
      <c r="E54" s="2">
        <v>25000</v>
      </c>
      <c r="F54" s="2">
        <v>56000</v>
      </c>
      <c r="G54" s="2">
        <v>74402</v>
      </c>
      <c r="H54" s="2">
        <v>94323</v>
      </c>
      <c r="I54" s="2">
        <v>96944</v>
      </c>
      <c r="J54" s="2">
        <v>102186</v>
      </c>
      <c r="K54" s="2">
        <v>99565</v>
      </c>
      <c r="L54" s="2">
        <v>96944</v>
      </c>
      <c r="M54" s="2">
        <v>107428</v>
      </c>
      <c r="N54" s="2">
        <v>110050</v>
      </c>
      <c r="O54" s="2">
        <v>113159</v>
      </c>
      <c r="P54" s="2">
        <f t="shared" si="0"/>
        <v>1000001</v>
      </c>
    </row>
    <row r="55" spans="1:16">
      <c r="A55">
        <v>2025</v>
      </c>
      <c r="B55" t="s">
        <v>33</v>
      </c>
      <c r="C55" s="3" t="str">
        <f>_xlfn.XLOOKUP(B55, 'Revenue Codes'!$A$2:$A$99, 'Revenue Codes'!$B$2:$B$99, "")</f>
        <v>NBT</v>
      </c>
      <c r="D55" s="2">
        <v>1667</v>
      </c>
      <c r="E55" s="2">
        <v>1666</v>
      </c>
      <c r="F55" s="2">
        <v>1666</v>
      </c>
      <c r="G55" s="2">
        <v>1667</v>
      </c>
      <c r="H55" s="2">
        <v>1667</v>
      </c>
      <c r="I55" s="2">
        <v>1667</v>
      </c>
      <c r="J55" s="2">
        <v>1667</v>
      </c>
      <c r="K55" s="2">
        <v>1666</v>
      </c>
      <c r="L55" s="2">
        <v>1667</v>
      </c>
      <c r="M55" s="2">
        <v>1667</v>
      </c>
      <c r="N55" s="2">
        <v>1667</v>
      </c>
      <c r="O55" s="2">
        <v>1666</v>
      </c>
      <c r="P55" s="2">
        <f t="shared" si="0"/>
        <v>20000</v>
      </c>
    </row>
    <row r="56" spans="1:16">
      <c r="A56">
        <v>2025</v>
      </c>
      <c r="B56" t="s">
        <v>25</v>
      </c>
      <c r="C56" s="3" t="str">
        <f>_xlfn.XLOOKUP(B56, 'Revenue Codes'!$A$2:$A$99, 'Revenue Codes'!$B$2:$B$99, "")</f>
        <v>LXT</v>
      </c>
      <c r="D56" s="2">
        <v>16666</v>
      </c>
      <c r="E56" s="2">
        <v>16667</v>
      </c>
      <c r="F56" s="2">
        <v>16667</v>
      </c>
      <c r="G56" s="2">
        <v>16667</v>
      </c>
      <c r="H56" s="2">
        <v>16667</v>
      </c>
      <c r="I56" s="2">
        <v>16666</v>
      </c>
      <c r="J56" s="2">
        <v>16667</v>
      </c>
      <c r="K56" s="2">
        <v>16667</v>
      </c>
      <c r="L56" s="2">
        <v>16666</v>
      </c>
      <c r="M56" s="2">
        <v>16666</v>
      </c>
      <c r="N56" s="2">
        <v>16667</v>
      </c>
      <c r="O56" s="2">
        <v>16667</v>
      </c>
      <c r="P56" s="2">
        <f t="shared" si="0"/>
        <v>200000</v>
      </c>
    </row>
    <row r="57" spans="1:16">
      <c r="A57">
        <v>2025</v>
      </c>
      <c r="B57" t="s">
        <v>36</v>
      </c>
      <c r="C57" s="3" t="str">
        <f>_xlfn.XLOOKUP(B57, 'Revenue Codes'!$A$2:$A$99, 'Revenue Codes'!$B$2:$B$99, "")</f>
        <v>ESC</v>
      </c>
      <c r="D57" s="2">
        <v>8333</v>
      </c>
      <c r="E57" s="2">
        <v>8334</v>
      </c>
      <c r="F57" s="2">
        <v>8333</v>
      </c>
      <c r="G57" s="2">
        <v>8333</v>
      </c>
      <c r="H57" s="2">
        <v>8334</v>
      </c>
      <c r="I57" s="2">
        <v>8333</v>
      </c>
      <c r="J57" s="2">
        <v>8333</v>
      </c>
      <c r="K57" s="2">
        <v>8334</v>
      </c>
      <c r="L57" s="2">
        <v>8333</v>
      </c>
      <c r="M57" s="2">
        <v>8333</v>
      </c>
      <c r="N57" s="2">
        <v>8334</v>
      </c>
      <c r="O57" s="2">
        <v>8333</v>
      </c>
      <c r="P57" s="2">
        <f t="shared" si="0"/>
        <v>100000</v>
      </c>
    </row>
    <row r="58" spans="1:16">
      <c r="A58">
        <v>2025</v>
      </c>
      <c r="B58" t="s">
        <v>39</v>
      </c>
      <c r="C58" s="3" t="str">
        <f>_xlfn.XLOOKUP(B58, 'Revenue Codes'!$A$2:$A$99, 'Revenue Codes'!$B$2:$B$99, "")</f>
        <v>Sundris &amp; Others</v>
      </c>
      <c r="D58" s="2">
        <v>8333</v>
      </c>
      <c r="E58" s="2">
        <v>8334</v>
      </c>
      <c r="F58" s="2">
        <v>8333</v>
      </c>
      <c r="G58" s="2">
        <v>8333</v>
      </c>
      <c r="H58" s="2">
        <v>8334</v>
      </c>
      <c r="I58" s="2">
        <v>8333</v>
      </c>
      <c r="J58" s="2">
        <v>8333</v>
      </c>
      <c r="K58" s="2">
        <v>8334</v>
      </c>
      <c r="L58" s="2">
        <v>8333</v>
      </c>
      <c r="M58" s="2">
        <v>8333</v>
      </c>
      <c r="N58" s="2">
        <v>8335</v>
      </c>
      <c r="O58" s="2">
        <v>8332</v>
      </c>
      <c r="P58" s="2">
        <f t="shared" si="0"/>
        <v>100000</v>
      </c>
    </row>
    <row r="59" spans="1:16">
      <c r="A59">
        <v>2025</v>
      </c>
      <c r="B59" t="s">
        <v>38</v>
      </c>
      <c r="C59" s="3" t="str">
        <f>_xlfn.XLOOKUP(B59, 'Revenue Codes'!$A$2:$A$99, 'Revenue Codes'!$B$2:$B$99, "")</f>
        <v>Fine &amp; Forfeits</v>
      </c>
      <c r="D59" s="2">
        <v>23335</v>
      </c>
      <c r="E59" s="2">
        <v>23331</v>
      </c>
      <c r="F59" s="2">
        <v>23335</v>
      </c>
      <c r="G59" s="2">
        <v>23331</v>
      </c>
      <c r="H59" s="2">
        <v>23330</v>
      </c>
      <c r="I59" s="2">
        <v>23335</v>
      </c>
      <c r="J59" s="2">
        <v>23334</v>
      </c>
      <c r="K59" s="2">
        <v>23331</v>
      </c>
      <c r="L59" s="2">
        <v>23335</v>
      </c>
      <c r="M59" s="2">
        <v>23335</v>
      </c>
      <c r="N59" s="2">
        <v>23334</v>
      </c>
      <c r="O59" s="2">
        <v>23334</v>
      </c>
      <c r="P59" s="2">
        <f t="shared" si="0"/>
        <v>280000</v>
      </c>
    </row>
    <row r="60" spans="1:16">
      <c r="A60">
        <v>2025</v>
      </c>
      <c r="B60" t="s">
        <v>37</v>
      </c>
      <c r="C60" s="3" t="str">
        <f>_xlfn.XLOOKUP(B60, 'Revenue Codes'!$A$2:$A$99, 'Revenue Codes'!$B$2:$B$99, "")</f>
        <v>Sales of Garment</v>
      </c>
      <c r="D60" s="2">
        <v>8333</v>
      </c>
      <c r="E60" s="2">
        <v>8334</v>
      </c>
      <c r="F60" s="2">
        <v>8333</v>
      </c>
      <c r="G60" s="2">
        <v>8333</v>
      </c>
      <c r="H60" s="2">
        <v>8334</v>
      </c>
      <c r="I60" s="2">
        <v>8333</v>
      </c>
      <c r="J60" s="2">
        <v>8333</v>
      </c>
      <c r="K60" s="2">
        <v>8334</v>
      </c>
      <c r="L60" s="2">
        <v>8333</v>
      </c>
      <c r="M60" s="2">
        <v>8333</v>
      </c>
      <c r="N60" s="2">
        <v>8334</v>
      </c>
      <c r="O60" s="2">
        <v>8333</v>
      </c>
      <c r="P60" s="2">
        <f t="shared" si="0"/>
        <v>100000</v>
      </c>
    </row>
    <row r="61" spans="1:16">
      <c r="A61">
        <v>2025</v>
      </c>
      <c r="B61" t="s">
        <v>40</v>
      </c>
      <c r="C61" s="3" t="str">
        <f>_xlfn.XLOOKUP(B61, 'Revenue Codes'!$A$2:$A$99, 'Revenue Codes'!$B$2:$B$99, "")</f>
        <v>Other Receipts</v>
      </c>
      <c r="D61" s="2">
        <v>8333</v>
      </c>
      <c r="E61" s="2">
        <v>8334</v>
      </c>
      <c r="F61" s="2">
        <v>8333</v>
      </c>
      <c r="G61" s="2">
        <v>8333</v>
      </c>
      <c r="H61" s="2">
        <v>8334</v>
      </c>
      <c r="I61" s="2">
        <v>8333</v>
      </c>
      <c r="J61" s="2">
        <v>8333</v>
      </c>
      <c r="K61" s="2">
        <v>8334</v>
      </c>
      <c r="L61" s="2">
        <v>8333</v>
      </c>
      <c r="M61" s="2">
        <v>8333</v>
      </c>
      <c r="N61" s="2">
        <v>8334</v>
      </c>
      <c r="O61" s="2">
        <v>8333</v>
      </c>
      <c r="P61" s="2">
        <f t="shared" si="0"/>
        <v>100000</v>
      </c>
    </row>
    <row r="62" spans="1:16">
      <c r="A62">
        <v>2026</v>
      </c>
      <c r="B62" t="s">
        <v>17</v>
      </c>
      <c r="C62" s="3" t="str">
        <f>_xlfn.XLOOKUP(B62, 'Revenue Codes'!$A$2:$A$99, 'Revenue Codes'!$B$2:$B$99, "")</f>
        <v xml:space="preserve">Import Duty </v>
      </c>
      <c r="D62" s="2">
        <v>9577000</v>
      </c>
      <c r="E62" s="2">
        <v>10766000</v>
      </c>
      <c r="F62" s="2">
        <v>11611000</v>
      </c>
      <c r="G62" s="2">
        <v>17294953</v>
      </c>
      <c r="H62" s="2">
        <v>21304292</v>
      </c>
      <c r="I62" s="2">
        <v>22534924</v>
      </c>
      <c r="J62" s="2">
        <v>23753522</v>
      </c>
      <c r="K62" s="2">
        <v>23144223</v>
      </c>
      <c r="L62" s="2">
        <v>22534924</v>
      </c>
      <c r="M62" s="2">
        <v>24972120</v>
      </c>
      <c r="N62" s="2">
        <v>25581417</v>
      </c>
      <c r="O62" s="2">
        <v>21925625</v>
      </c>
      <c r="P62" s="7">
        <v>235000000</v>
      </c>
    </row>
    <row r="63" spans="1:16">
      <c r="A63">
        <v>2026</v>
      </c>
      <c r="B63" t="s">
        <v>19</v>
      </c>
      <c r="C63" s="3" t="str">
        <f>_xlfn.XLOOKUP(B63, 'Revenue Codes'!$A$2:$A$99, 'Revenue Codes'!$B$2:$B$99, "")</f>
        <v xml:space="preserve">Export Duty </v>
      </c>
      <c r="D63" s="2">
        <v>2000</v>
      </c>
      <c r="E63" s="2">
        <v>2000</v>
      </c>
      <c r="F63" s="2">
        <v>2000</v>
      </c>
      <c r="G63" s="2">
        <v>3245</v>
      </c>
      <c r="H63" s="2">
        <v>2412</v>
      </c>
      <c r="I63" s="2">
        <v>2925</v>
      </c>
      <c r="J63" s="2">
        <v>3083</v>
      </c>
      <c r="K63" s="2">
        <v>3004</v>
      </c>
      <c r="L63" s="2">
        <v>3925</v>
      </c>
      <c r="M63" s="2">
        <v>3241</v>
      </c>
      <c r="N63" s="2">
        <v>3320</v>
      </c>
      <c r="O63" s="2">
        <v>3845</v>
      </c>
      <c r="P63" s="7">
        <v>35000</v>
      </c>
    </row>
    <row r="64" spans="1:16">
      <c r="A64">
        <v>2026</v>
      </c>
      <c r="B64" t="s">
        <v>20</v>
      </c>
      <c r="C64" s="3" t="str">
        <f>_xlfn.XLOOKUP(B64, 'Revenue Codes'!$A$2:$A$99, 'Revenue Codes'!$B$2:$B$99, "")</f>
        <v xml:space="preserve">PAL </v>
      </c>
      <c r="D64" s="2">
        <v>13895000</v>
      </c>
      <c r="E64" s="2">
        <v>13031000</v>
      </c>
      <c r="F64" s="2">
        <v>15367000</v>
      </c>
      <c r="G64" s="2">
        <v>14996424</v>
      </c>
      <c r="H64" s="2">
        <v>17769591</v>
      </c>
      <c r="I64" s="2">
        <v>15615915</v>
      </c>
      <c r="J64" s="2">
        <v>16457657</v>
      </c>
      <c r="K64" s="2">
        <v>16036786</v>
      </c>
      <c r="L64" s="2">
        <v>16615915</v>
      </c>
      <c r="M64" s="2">
        <v>17299399</v>
      </c>
      <c r="N64" s="2">
        <v>17720269</v>
      </c>
      <c r="O64" s="2">
        <v>15195044</v>
      </c>
      <c r="P64" s="7">
        <v>190000000</v>
      </c>
    </row>
    <row r="65" spans="1:16">
      <c r="A65">
        <v>2026</v>
      </c>
      <c r="B65" t="s">
        <v>21</v>
      </c>
      <c r="C65" s="3" t="str">
        <f>_xlfn.XLOOKUP(B65, 'Revenue Codes'!$A$2:$A$99, 'Revenue Codes'!$B$2:$B$99, "")</f>
        <v xml:space="preserve">Cess (Import) </v>
      </c>
      <c r="D65" s="2">
        <v>7113000</v>
      </c>
      <c r="E65" s="2">
        <v>7404000</v>
      </c>
      <c r="F65" s="2">
        <v>6303000</v>
      </c>
      <c r="G65" s="2">
        <v>6399297</v>
      </c>
      <c r="H65" s="2">
        <v>6533248</v>
      </c>
      <c r="I65" s="2">
        <v>7338245</v>
      </c>
      <c r="J65" s="2">
        <v>7789143</v>
      </c>
      <c r="K65" s="2">
        <v>7563694</v>
      </c>
      <c r="L65" s="2">
        <v>8338245</v>
      </c>
      <c r="M65" s="2">
        <v>7240042</v>
      </c>
      <c r="N65" s="2">
        <v>8465291</v>
      </c>
      <c r="O65" s="2">
        <v>7112795</v>
      </c>
      <c r="P65" s="7">
        <v>87600000</v>
      </c>
    </row>
    <row r="66" spans="1:16">
      <c r="A66">
        <v>2026</v>
      </c>
      <c r="B66" t="s">
        <v>22</v>
      </c>
      <c r="C66" s="3" t="str">
        <f>_xlfn.XLOOKUP(B66, 'Revenue Codes'!$A$2:$A$99, 'Revenue Codes'!$B$2:$B$99, "")</f>
        <v>Cess (Export)</v>
      </c>
      <c r="D66" s="2">
        <v>221000</v>
      </c>
      <c r="E66" s="2">
        <v>226000</v>
      </c>
      <c r="F66" s="2">
        <v>221000</v>
      </c>
      <c r="G66" s="2">
        <v>258945</v>
      </c>
      <c r="H66" s="2">
        <v>141744</v>
      </c>
      <c r="I66" s="2">
        <v>207102</v>
      </c>
      <c r="J66" s="2">
        <v>218301</v>
      </c>
      <c r="K66" s="2">
        <v>212702</v>
      </c>
      <c r="L66" s="2">
        <v>107102</v>
      </c>
      <c r="M66" s="2">
        <v>229501</v>
      </c>
      <c r="N66" s="2">
        <v>155100</v>
      </c>
      <c r="O66" s="2">
        <v>201503</v>
      </c>
      <c r="P66" s="7">
        <v>2400000</v>
      </c>
    </row>
    <row r="67" spans="1:16">
      <c r="A67">
        <v>2026</v>
      </c>
      <c r="B67" t="s">
        <v>24</v>
      </c>
      <c r="C67" s="3" t="str">
        <f>_xlfn.XLOOKUP(B67, 'Revenue Codes'!$A$2:$A$99, 'Revenue Codes'!$B$2:$B$99, "")</f>
        <v>SCL</v>
      </c>
      <c r="D67" s="2">
        <v>11302000</v>
      </c>
      <c r="E67" s="2">
        <v>13129000</v>
      </c>
      <c r="F67" s="2">
        <v>15461000</v>
      </c>
      <c r="G67" s="2">
        <v>9493151</v>
      </c>
      <c r="H67" s="2">
        <v>9875707</v>
      </c>
      <c r="I67" s="2">
        <v>9460426</v>
      </c>
      <c r="J67" s="2">
        <v>10917932</v>
      </c>
      <c r="K67" s="2">
        <v>9689179</v>
      </c>
      <c r="L67" s="2">
        <v>10460426</v>
      </c>
      <c r="M67" s="2">
        <v>9375438</v>
      </c>
      <c r="N67" s="2">
        <v>9604068</v>
      </c>
      <c r="O67" s="2">
        <v>10231673</v>
      </c>
      <c r="P67" s="7">
        <v>129000000</v>
      </c>
    </row>
    <row r="68" spans="1:16">
      <c r="A68">
        <v>2026</v>
      </c>
      <c r="B68" t="s">
        <v>26</v>
      </c>
      <c r="C68" s="3" t="str">
        <f>_xlfn.XLOOKUP(B68, 'Revenue Codes'!$A$2:$A$99, 'Revenue Codes'!$B$2:$B$99, "")</f>
        <v>VAT</v>
      </c>
      <c r="D68" s="2">
        <v>61188236</v>
      </c>
      <c r="E68" s="2">
        <v>68041000</v>
      </c>
      <c r="F68" s="2">
        <v>76346000</v>
      </c>
      <c r="G68" s="2">
        <v>75998224</v>
      </c>
      <c r="H68" s="2">
        <v>75606433</v>
      </c>
      <c r="I68" s="2">
        <v>71055462</v>
      </c>
      <c r="J68" s="2">
        <v>74789703</v>
      </c>
      <c r="K68" s="2">
        <v>72922471</v>
      </c>
      <c r="L68" s="2">
        <v>77055462</v>
      </c>
      <c r="M68" s="2">
        <v>76523945</v>
      </c>
      <c r="N68" s="2">
        <v>76391064</v>
      </c>
      <c r="O68" s="2">
        <v>69082000</v>
      </c>
      <c r="P68" s="7">
        <v>875000000</v>
      </c>
    </row>
    <row r="69" spans="1:16">
      <c r="A69">
        <v>2026</v>
      </c>
      <c r="B69" t="s">
        <v>45</v>
      </c>
      <c r="C69" s="3" t="str">
        <f>_xlfn.XLOOKUP(B69, 'Revenue Codes'!$A$2:$A$99, 'Revenue Codes'!$B$2:$B$99, "")</f>
        <v>SSL</v>
      </c>
      <c r="D69" s="2">
        <v>8960000</v>
      </c>
      <c r="E69" s="2">
        <v>8412000</v>
      </c>
      <c r="F69" s="2">
        <v>8985000</v>
      </c>
      <c r="G69" s="2">
        <v>7791887</v>
      </c>
      <c r="H69" s="2">
        <v>7288206</v>
      </c>
      <c r="I69" s="2">
        <v>8243718</v>
      </c>
      <c r="J69" s="2">
        <v>7581239</v>
      </c>
      <c r="K69" s="2">
        <v>8412536</v>
      </c>
      <c r="L69" s="2">
        <v>8243718</v>
      </c>
      <c r="M69" s="2">
        <v>8918989</v>
      </c>
      <c r="N69" s="2">
        <v>7087806</v>
      </c>
      <c r="O69" s="2">
        <v>7074901</v>
      </c>
      <c r="P69" s="7">
        <v>97000000</v>
      </c>
    </row>
    <row r="70" spans="1:16">
      <c r="A70">
        <v>2026</v>
      </c>
      <c r="B70" t="s">
        <v>28</v>
      </c>
      <c r="C70" s="3" t="str">
        <f>_xlfn.XLOOKUP(B70, 'Revenue Codes'!$A$2:$A$99, 'Revenue Codes'!$B$2:$B$99, "")</f>
        <v>Cigarette</v>
      </c>
      <c r="D70" s="2">
        <v>8426000</v>
      </c>
      <c r="E70" s="2">
        <v>8631000</v>
      </c>
      <c r="F70" s="2">
        <v>6330000</v>
      </c>
      <c r="G70" s="2">
        <v>8613393</v>
      </c>
      <c r="H70" s="2">
        <v>9100536</v>
      </c>
      <c r="I70" s="2">
        <v>9222944</v>
      </c>
      <c r="J70" s="2">
        <v>8829949</v>
      </c>
      <c r="K70" s="2">
        <v>10526501</v>
      </c>
      <c r="L70" s="2">
        <v>9223052</v>
      </c>
      <c r="M70" s="2">
        <v>7436727</v>
      </c>
      <c r="N70" s="2">
        <v>9740295</v>
      </c>
      <c r="O70" s="2">
        <v>8919603</v>
      </c>
      <c r="P70" s="7">
        <v>105000000</v>
      </c>
    </row>
    <row r="71" spans="1:16">
      <c r="A71">
        <v>2026</v>
      </c>
      <c r="B71" t="s">
        <v>30</v>
      </c>
      <c r="C71" s="3" t="str">
        <f>_xlfn.XLOOKUP(B71, 'Revenue Codes'!$A$2:$A$99, 'Revenue Codes'!$B$2:$B$99, "")</f>
        <v>Petroleum Products</v>
      </c>
      <c r="D71" s="2">
        <v>16041000</v>
      </c>
      <c r="E71" s="2">
        <v>12526000</v>
      </c>
      <c r="F71" s="2">
        <v>16389000</v>
      </c>
      <c r="G71" s="2">
        <v>17133395</v>
      </c>
      <c r="H71" s="2">
        <v>17016729</v>
      </c>
      <c r="I71" s="2">
        <v>17718465</v>
      </c>
      <c r="J71" s="2">
        <v>18784760</v>
      </c>
      <c r="K71" s="2">
        <v>18251612</v>
      </c>
      <c r="L71" s="2">
        <v>19718465</v>
      </c>
      <c r="M71" s="2">
        <v>17851055</v>
      </c>
      <c r="N71" s="2">
        <v>16384202</v>
      </c>
      <c r="O71" s="2">
        <v>17185317</v>
      </c>
      <c r="P71" s="7">
        <v>205000000</v>
      </c>
    </row>
    <row r="72" spans="1:16">
      <c r="A72">
        <v>2026</v>
      </c>
      <c r="B72" t="s">
        <v>31</v>
      </c>
      <c r="C72" s="3" t="str">
        <f>_xlfn.XLOOKUP(B72, 'Revenue Codes'!$A$2:$A$99, 'Revenue Codes'!$B$2:$B$99, "")</f>
        <v>Motor Vehicles</v>
      </c>
      <c r="D72" s="2">
        <v>22100000</v>
      </c>
      <c r="E72" s="2">
        <v>22300000</v>
      </c>
      <c r="F72" s="2">
        <v>22100000</v>
      </c>
      <c r="G72" s="2">
        <v>22100000</v>
      </c>
      <c r="H72" s="2">
        <v>22100000</v>
      </c>
      <c r="I72" s="2">
        <v>22300000</v>
      </c>
      <c r="J72" s="2">
        <v>22100000</v>
      </c>
      <c r="K72" s="2">
        <v>22300000</v>
      </c>
      <c r="L72" s="2">
        <v>22100000</v>
      </c>
      <c r="M72" s="2">
        <v>22200000</v>
      </c>
      <c r="N72" s="2">
        <v>22100000</v>
      </c>
      <c r="O72" s="2">
        <v>22200000</v>
      </c>
      <c r="P72" s="7">
        <v>266000000</v>
      </c>
    </row>
    <row r="73" spans="1:16">
      <c r="A73">
        <v>2026</v>
      </c>
      <c r="B73" t="s">
        <v>32</v>
      </c>
      <c r="C73" s="3" t="str">
        <f>_xlfn.XLOOKUP(B73, 'Revenue Codes'!$A$2:$A$99, 'Revenue Codes'!$B$2:$B$99, "")</f>
        <v>Excise (Other)</v>
      </c>
      <c r="D73" s="2">
        <v>1284000</v>
      </c>
      <c r="E73" s="2">
        <v>1332000</v>
      </c>
      <c r="F73" s="2">
        <v>1150000</v>
      </c>
      <c r="G73" s="2">
        <v>1027035</v>
      </c>
      <c r="H73" s="2">
        <v>897395</v>
      </c>
      <c r="I73" s="2">
        <v>1026119</v>
      </c>
      <c r="J73" s="2">
        <v>1049162</v>
      </c>
      <c r="K73" s="2">
        <v>1037641</v>
      </c>
      <c r="L73" s="2">
        <v>1026119</v>
      </c>
      <c r="M73" s="2">
        <v>1072205</v>
      </c>
      <c r="N73" s="2">
        <v>1083726</v>
      </c>
      <c r="O73" s="2">
        <v>1014598</v>
      </c>
      <c r="P73" s="7">
        <v>13000000</v>
      </c>
    </row>
    <row r="74" spans="1:16">
      <c r="A74">
        <v>2026</v>
      </c>
      <c r="B74" t="s">
        <v>35</v>
      </c>
      <c r="C74" s="3" t="str">
        <f>_xlfn.XLOOKUP(B74, 'Revenue Codes'!$A$2:$A$99, 'Revenue Codes'!$B$2:$B$99, "")</f>
        <v>VEL</v>
      </c>
      <c r="D74" s="2">
        <v>64000</v>
      </c>
      <c r="E74" s="2">
        <v>75000</v>
      </c>
      <c r="F74" s="2">
        <v>66000</v>
      </c>
      <c r="G74" s="2">
        <v>94402</v>
      </c>
      <c r="H74" s="2">
        <v>93158</v>
      </c>
      <c r="I74" s="2">
        <v>96944</v>
      </c>
      <c r="J74" s="2">
        <v>102186</v>
      </c>
      <c r="K74" s="2">
        <v>99565</v>
      </c>
      <c r="L74" s="2">
        <v>96944</v>
      </c>
      <c r="M74" s="2">
        <v>107428</v>
      </c>
      <c r="N74" s="2">
        <v>110050</v>
      </c>
      <c r="O74" s="2">
        <v>94323</v>
      </c>
      <c r="P74" s="7">
        <v>1100000</v>
      </c>
    </row>
    <row r="75" spans="1:16">
      <c r="A75">
        <v>2026</v>
      </c>
      <c r="B75" t="s">
        <v>33</v>
      </c>
      <c r="C75" s="3" t="str">
        <f>_xlfn.XLOOKUP(B75, 'Revenue Codes'!$A$2:$A$99, 'Revenue Codes'!$B$2:$B$99, "")</f>
        <v>NBT</v>
      </c>
      <c r="D75" s="2" t="s">
        <v>54</v>
      </c>
      <c r="E75" s="2" t="s">
        <v>54</v>
      </c>
      <c r="F75" s="2" t="s">
        <v>54</v>
      </c>
      <c r="G75" s="2" t="s">
        <v>54</v>
      </c>
      <c r="H75" s="2" t="s">
        <v>54</v>
      </c>
      <c r="I75" s="2" t="s">
        <v>54</v>
      </c>
      <c r="J75" s="2" t="s">
        <v>54</v>
      </c>
      <c r="K75" s="2" t="s">
        <v>54</v>
      </c>
      <c r="L75" s="2" t="s">
        <v>54</v>
      </c>
      <c r="M75" s="2" t="s">
        <v>54</v>
      </c>
      <c r="N75" s="2" t="s">
        <v>54</v>
      </c>
      <c r="O75" s="2" t="s">
        <v>54</v>
      </c>
      <c r="P75">
        <v>0</v>
      </c>
    </row>
    <row r="76" spans="1:16">
      <c r="A76">
        <v>2026</v>
      </c>
      <c r="B76" t="s">
        <v>25</v>
      </c>
      <c r="C76" s="3" t="str">
        <f>_xlfn.XLOOKUP(B76, 'Revenue Codes'!$A$2:$A$99, 'Revenue Codes'!$B$2:$B$99, "")</f>
        <v>LXT</v>
      </c>
      <c r="D76" s="2">
        <v>8000</v>
      </c>
      <c r="E76" s="2">
        <v>8000</v>
      </c>
      <c r="F76" s="2">
        <v>8000</v>
      </c>
      <c r="G76" s="2">
        <v>8000</v>
      </c>
      <c r="H76" s="2">
        <v>9000</v>
      </c>
      <c r="I76" s="2">
        <v>8000</v>
      </c>
      <c r="J76" s="2">
        <v>9000</v>
      </c>
      <c r="K76" s="2">
        <v>8000</v>
      </c>
      <c r="L76" s="2">
        <v>9000</v>
      </c>
      <c r="M76" s="2">
        <v>8000</v>
      </c>
      <c r="N76" s="2">
        <v>9000</v>
      </c>
      <c r="O76" s="2">
        <v>8000</v>
      </c>
      <c r="P76" s="7">
        <v>100000</v>
      </c>
    </row>
    <row r="77" spans="1:16">
      <c r="A77">
        <v>2026</v>
      </c>
      <c r="B77" t="s">
        <v>36</v>
      </c>
      <c r="C77" s="3" t="str">
        <f>_xlfn.XLOOKUP(B77, 'Revenue Codes'!$A$2:$A$99, 'Revenue Codes'!$B$2:$B$99, "")</f>
        <v>ESC</v>
      </c>
      <c r="D77" s="2" t="s">
        <v>54</v>
      </c>
      <c r="E77" s="2" t="s">
        <v>54</v>
      </c>
      <c r="F77" s="2" t="s">
        <v>54</v>
      </c>
      <c r="G77" s="2" t="s">
        <v>54</v>
      </c>
      <c r="H77" s="2" t="s">
        <v>54</v>
      </c>
      <c r="I77" s="2" t="s">
        <v>54</v>
      </c>
      <c r="J77" s="2" t="s">
        <v>54</v>
      </c>
      <c r="K77" s="2" t="s">
        <v>54</v>
      </c>
      <c r="L77" s="2" t="s">
        <v>54</v>
      </c>
      <c r="M77" s="2" t="s">
        <v>54</v>
      </c>
      <c r="N77" s="2" t="s">
        <v>54</v>
      </c>
      <c r="O77" s="2" t="s">
        <v>54</v>
      </c>
      <c r="P77" t="s">
        <v>54</v>
      </c>
    </row>
    <row r="78" spans="1:16">
      <c r="A78">
        <v>2026</v>
      </c>
      <c r="B78" t="s">
        <v>39</v>
      </c>
      <c r="C78" s="3" t="str">
        <f>_xlfn.XLOOKUP(B78, 'Revenue Codes'!$A$2:$A$99, 'Revenue Codes'!$B$2:$B$99, "")</f>
        <v>Sundris &amp; Others</v>
      </c>
      <c r="D78" s="2">
        <v>8000</v>
      </c>
      <c r="E78" s="2">
        <v>8000</v>
      </c>
      <c r="F78" s="2">
        <v>9000</v>
      </c>
      <c r="G78" s="2">
        <v>8000</v>
      </c>
      <c r="H78" s="2">
        <v>9000</v>
      </c>
      <c r="I78" s="2">
        <v>8000</v>
      </c>
      <c r="J78" s="2">
        <v>8000</v>
      </c>
      <c r="K78" s="2">
        <v>9000</v>
      </c>
      <c r="L78" s="2">
        <v>8000</v>
      </c>
      <c r="M78" s="2">
        <v>9000</v>
      </c>
      <c r="N78" s="2">
        <v>8000</v>
      </c>
      <c r="O78" s="2">
        <v>8000</v>
      </c>
      <c r="P78" s="7">
        <v>100000</v>
      </c>
    </row>
    <row r="79" spans="1:16">
      <c r="A79">
        <v>2026</v>
      </c>
      <c r="B79" t="s">
        <v>38</v>
      </c>
      <c r="C79" s="3" t="str">
        <f>_xlfn.XLOOKUP(B79, 'Revenue Codes'!$A$2:$A$99, 'Revenue Codes'!$B$2:$B$99, "")</f>
        <v>Fine &amp; Forfeits</v>
      </c>
      <c r="D79" s="2">
        <v>41000</v>
      </c>
      <c r="E79" s="2">
        <v>42000</v>
      </c>
      <c r="F79" s="2">
        <v>42000</v>
      </c>
      <c r="G79" s="2">
        <v>42000</v>
      </c>
      <c r="H79" s="2">
        <v>42000</v>
      </c>
      <c r="I79" s="2">
        <v>43000</v>
      </c>
      <c r="J79" s="2">
        <v>42000</v>
      </c>
      <c r="K79" s="2">
        <v>44000</v>
      </c>
      <c r="L79" s="2">
        <v>42000</v>
      </c>
      <c r="M79" s="2">
        <v>46000</v>
      </c>
      <c r="N79" s="2">
        <v>42000</v>
      </c>
      <c r="O79" s="2">
        <v>42000</v>
      </c>
      <c r="P79" s="7">
        <v>510000</v>
      </c>
    </row>
    <row r="80" spans="1:16">
      <c r="A80">
        <v>2026</v>
      </c>
      <c r="B80" t="s">
        <v>37</v>
      </c>
      <c r="C80" s="3" t="str">
        <f>_xlfn.XLOOKUP(B80, 'Revenue Codes'!$A$2:$A$99, 'Revenue Codes'!$B$2:$B$99, "")</f>
        <v>Sales of Garment</v>
      </c>
      <c r="D80" s="2">
        <v>4000</v>
      </c>
      <c r="E80" s="2">
        <v>4000</v>
      </c>
      <c r="F80" s="2">
        <v>4000</v>
      </c>
      <c r="G80" s="2">
        <v>4000</v>
      </c>
      <c r="H80" s="2">
        <v>4000</v>
      </c>
      <c r="I80" s="2">
        <v>4000</v>
      </c>
      <c r="J80" s="2">
        <v>5000</v>
      </c>
      <c r="K80" s="2">
        <v>4000</v>
      </c>
      <c r="L80" s="2">
        <v>5000</v>
      </c>
      <c r="M80" s="2">
        <v>4000</v>
      </c>
      <c r="N80" s="2">
        <v>4000</v>
      </c>
      <c r="O80" s="2">
        <v>4000</v>
      </c>
      <c r="P80" s="7">
        <v>50000</v>
      </c>
    </row>
    <row r="81" spans="1:16">
      <c r="A81">
        <v>2026</v>
      </c>
      <c r="B81" t="s">
        <v>40</v>
      </c>
      <c r="C81" s="3" t="str">
        <f>_xlfn.XLOOKUP(B81, 'Revenue Codes'!$A$2:$A$99, 'Revenue Codes'!$B$2:$B$99, "")</f>
        <v>Other Receipts</v>
      </c>
      <c r="E81" s="2">
        <v>8000</v>
      </c>
      <c r="F81" s="2">
        <v>8000</v>
      </c>
      <c r="G81" s="2">
        <v>8000</v>
      </c>
      <c r="H81" s="2">
        <v>8000</v>
      </c>
      <c r="I81" s="2">
        <v>9000</v>
      </c>
      <c r="J81" s="2">
        <v>8000</v>
      </c>
      <c r="K81" s="2">
        <v>9000</v>
      </c>
      <c r="L81" s="2">
        <v>8000</v>
      </c>
      <c r="M81" s="2">
        <v>9000</v>
      </c>
      <c r="N81" s="2">
        <v>9000</v>
      </c>
      <c r="O81" s="2">
        <v>8000</v>
      </c>
      <c r="P81" s="7">
        <v>100000</v>
      </c>
    </row>
    <row r="82" spans="1:16" s="18" customFormat="1">
      <c r="A82" s="18">
        <v>2023</v>
      </c>
      <c r="B82" s="18" t="s">
        <v>17</v>
      </c>
      <c r="C82" s="19" t="str">
        <f>_xlfn.XLOOKUP(B82, 'Revenue Codes'!$A$2:$A$99, 'Revenue Codes'!$B$2:$B$99, "")</f>
        <v xml:space="preserve">Import Duty </v>
      </c>
      <c r="D82" s="20">
        <v>3279000</v>
      </c>
      <c r="E82" s="20">
        <v>4393000</v>
      </c>
      <c r="F82" s="20">
        <v>4687000</v>
      </c>
      <c r="G82" s="20">
        <v>3121000</v>
      </c>
      <c r="H82" s="20">
        <v>3299000</v>
      </c>
      <c r="I82" s="20">
        <v>3799000</v>
      </c>
      <c r="J82" s="20">
        <v>2616000</v>
      </c>
      <c r="K82" s="20">
        <v>3182000</v>
      </c>
      <c r="L82" s="20">
        <v>4315000</v>
      </c>
      <c r="M82" s="20">
        <v>5302000</v>
      </c>
      <c r="N82" s="20">
        <v>3195000</v>
      </c>
      <c r="O82" s="20">
        <v>3199000</v>
      </c>
      <c r="P82" s="20">
        <f>SUM(D82:O82)</f>
        <v>44387000</v>
      </c>
    </row>
    <row r="83" spans="1:16" s="18" customFormat="1">
      <c r="A83" s="18">
        <v>2023</v>
      </c>
      <c r="B83" s="18" t="s">
        <v>17</v>
      </c>
      <c r="C83" s="19" t="str">
        <f>_xlfn.XLOOKUP(B83, 'Revenue Codes'!$A$2:$A$99, 'Revenue Codes'!$B$2:$B$99, "")</f>
        <v xml:space="preserve">Import Duty </v>
      </c>
      <c r="D83" s="20"/>
      <c r="E83" s="20"/>
      <c r="F83" s="20"/>
      <c r="G83" s="20"/>
      <c r="H83" s="20"/>
      <c r="I83" s="20"/>
      <c r="J83" s="20"/>
      <c r="K83" s="20"/>
      <c r="L83" s="20"/>
      <c r="M83" s="20"/>
      <c r="N83" s="20"/>
      <c r="O83" s="20"/>
      <c r="P83" s="20">
        <f t="shared" ref="P83:P141" si="1">SUM(D83:O83)</f>
        <v>0</v>
      </c>
    </row>
    <row r="84" spans="1:16" s="18" customFormat="1">
      <c r="A84" s="18">
        <v>2023</v>
      </c>
      <c r="B84" s="18" t="s">
        <v>19</v>
      </c>
      <c r="C84" s="19" t="str">
        <f>_xlfn.XLOOKUP(B84, 'Revenue Codes'!$A$2:$A$99, 'Revenue Codes'!$B$2:$B$99, "")</f>
        <v xml:space="preserve">Export Duty </v>
      </c>
      <c r="D84" s="20">
        <v>2770</v>
      </c>
      <c r="E84" s="20">
        <v>17550</v>
      </c>
      <c r="F84" s="20">
        <v>6070</v>
      </c>
      <c r="G84" s="20">
        <v>1740</v>
      </c>
      <c r="H84" s="20">
        <v>3520</v>
      </c>
      <c r="I84" s="20">
        <v>2790</v>
      </c>
      <c r="J84" s="20">
        <v>3090</v>
      </c>
      <c r="K84" s="20">
        <v>2970</v>
      </c>
      <c r="L84" s="20">
        <v>3020</v>
      </c>
      <c r="M84" s="20">
        <v>3000</v>
      </c>
      <c r="N84" s="20">
        <v>3000</v>
      </c>
      <c r="O84" s="20">
        <v>3000</v>
      </c>
      <c r="P84" s="20">
        <f t="shared" si="1"/>
        <v>52520</v>
      </c>
    </row>
    <row r="85" spans="1:16" s="18" customFormat="1">
      <c r="A85" s="18">
        <v>2023</v>
      </c>
      <c r="B85" s="18" t="s">
        <v>20</v>
      </c>
      <c r="C85" s="19" t="str">
        <f>_xlfn.XLOOKUP(B85, 'Revenue Codes'!$A$2:$A$99, 'Revenue Codes'!$B$2:$B$99, "")</f>
        <v xml:space="preserve">PAL </v>
      </c>
      <c r="D85" s="20">
        <v>12460000</v>
      </c>
      <c r="E85" s="20">
        <v>12560000</v>
      </c>
      <c r="F85" s="20">
        <v>13054750</v>
      </c>
      <c r="G85" s="20">
        <v>13460860</v>
      </c>
      <c r="H85" s="20">
        <v>13214180</v>
      </c>
      <c r="I85" s="20">
        <v>13617690</v>
      </c>
      <c r="J85" s="20">
        <v>13373600</v>
      </c>
      <c r="K85" s="20">
        <v>12650000</v>
      </c>
      <c r="L85" s="20">
        <v>13250000</v>
      </c>
      <c r="M85" s="20">
        <v>14640000</v>
      </c>
      <c r="N85" s="20">
        <v>13692410</v>
      </c>
      <c r="O85" s="20">
        <v>13088000</v>
      </c>
      <c r="P85" s="20">
        <f t="shared" si="1"/>
        <v>159061490</v>
      </c>
    </row>
    <row r="86" spans="1:16" s="18" customFormat="1">
      <c r="A86" s="18">
        <v>2023</v>
      </c>
      <c r="B86" s="18" t="s">
        <v>21</v>
      </c>
      <c r="C86" s="19" t="str">
        <f>_xlfn.XLOOKUP(B86, 'Revenue Codes'!$A$2:$A$99, 'Revenue Codes'!$B$2:$B$99, "")</f>
        <v xml:space="preserve">Cess (Import) </v>
      </c>
      <c r="D86" s="20">
        <v>3581510</v>
      </c>
      <c r="E86" s="20">
        <v>5022450</v>
      </c>
      <c r="F86" s="20">
        <v>5974020</v>
      </c>
      <c r="G86" s="20">
        <v>4814120</v>
      </c>
      <c r="H86" s="20">
        <v>4744900</v>
      </c>
      <c r="I86" s="20">
        <v>4752590</v>
      </c>
      <c r="J86" s="20">
        <v>4765710</v>
      </c>
      <c r="K86" s="20">
        <v>4779200</v>
      </c>
      <c r="L86" s="20">
        <v>4792720</v>
      </c>
      <c r="M86" s="20">
        <v>4806250</v>
      </c>
      <c r="N86" s="20">
        <v>4819770</v>
      </c>
      <c r="O86" s="20">
        <v>4810000</v>
      </c>
      <c r="P86" s="20">
        <f t="shared" si="1"/>
        <v>57663240</v>
      </c>
    </row>
    <row r="87" spans="1:16" s="18" customFormat="1">
      <c r="A87" s="18">
        <v>2023</v>
      </c>
      <c r="B87" s="18" t="s">
        <v>22</v>
      </c>
      <c r="C87" s="19" t="str">
        <f>_xlfn.XLOOKUP(B87, 'Revenue Codes'!$A$2:$A$99, 'Revenue Codes'!$B$2:$B$99, "")</f>
        <v>Cess (Export)</v>
      </c>
      <c r="D87" s="20">
        <v>65890</v>
      </c>
      <c r="E87" s="20">
        <v>90470</v>
      </c>
      <c r="F87" s="20">
        <v>129030</v>
      </c>
      <c r="G87" s="20">
        <v>87080</v>
      </c>
      <c r="H87" s="20">
        <v>104070</v>
      </c>
      <c r="I87" s="20">
        <v>94960</v>
      </c>
      <c r="J87" s="20">
        <v>97410</v>
      </c>
      <c r="K87" s="20">
        <v>94740</v>
      </c>
      <c r="L87" s="20">
        <v>94330</v>
      </c>
      <c r="M87" s="20">
        <v>92930</v>
      </c>
      <c r="N87" s="20">
        <v>91960</v>
      </c>
      <c r="O87" s="20">
        <v>90800</v>
      </c>
      <c r="P87" s="20">
        <f t="shared" si="1"/>
        <v>1133670</v>
      </c>
    </row>
    <row r="88" spans="1:16" s="18" customFormat="1">
      <c r="A88" s="18">
        <v>2023</v>
      </c>
      <c r="B88" s="18" t="s">
        <v>24</v>
      </c>
      <c r="C88" s="19" t="str">
        <f>_xlfn.XLOOKUP(B88, 'Revenue Codes'!$A$2:$A$99, 'Revenue Codes'!$B$2:$B$99, "")</f>
        <v>SCL</v>
      </c>
      <c r="D88" s="20">
        <v>3080000</v>
      </c>
      <c r="E88" s="20">
        <v>3240000</v>
      </c>
      <c r="F88" s="20">
        <v>3327630</v>
      </c>
      <c r="G88" s="20">
        <v>2850000</v>
      </c>
      <c r="H88" s="20">
        <v>3200000</v>
      </c>
      <c r="I88" s="20">
        <v>3125000</v>
      </c>
      <c r="J88" s="20">
        <v>3250000</v>
      </c>
      <c r="K88" s="20">
        <v>3640000</v>
      </c>
      <c r="L88" s="20">
        <v>3090000</v>
      </c>
      <c r="M88" s="20">
        <v>3750000</v>
      </c>
      <c r="N88" s="20">
        <v>2560000</v>
      </c>
      <c r="O88" s="20">
        <v>2650000</v>
      </c>
      <c r="P88" s="20">
        <f t="shared" si="1"/>
        <v>37762630</v>
      </c>
    </row>
    <row r="89" spans="1:16" s="18" customFormat="1">
      <c r="A89" s="18">
        <v>2023</v>
      </c>
      <c r="B89" s="18" t="s">
        <v>26</v>
      </c>
      <c r="C89" s="19" t="str">
        <f>_xlfn.XLOOKUP(B89, 'Revenue Codes'!$A$2:$A$99, 'Revenue Codes'!$B$2:$B$99, "")</f>
        <v>VAT</v>
      </c>
      <c r="D89" s="20">
        <v>13885990</v>
      </c>
      <c r="E89" s="20">
        <v>13342410</v>
      </c>
      <c r="F89" s="20">
        <v>15098190</v>
      </c>
      <c r="G89" s="20">
        <v>14311350</v>
      </c>
      <c r="H89" s="20">
        <v>14755280</v>
      </c>
      <c r="I89" s="20">
        <v>14703900</v>
      </c>
      <c r="J89" s="20">
        <v>14851850</v>
      </c>
      <c r="K89" s="20">
        <v>14919590</v>
      </c>
      <c r="L89" s="20">
        <v>15019600</v>
      </c>
      <c r="M89" s="20">
        <v>15106630</v>
      </c>
      <c r="N89" s="20">
        <v>15198880</v>
      </c>
      <c r="O89" s="20">
        <v>15289030</v>
      </c>
      <c r="P89" s="20">
        <f t="shared" si="1"/>
        <v>176482700</v>
      </c>
    </row>
    <row r="90" spans="1:16" s="18" customFormat="1">
      <c r="A90" s="18">
        <v>2023</v>
      </c>
      <c r="B90" s="18" t="s">
        <v>28</v>
      </c>
      <c r="C90" s="19" t="str">
        <f>_xlfn.XLOOKUP(B90, 'Revenue Codes'!$A$2:$A$99, 'Revenue Codes'!$B$2:$B$99, "")</f>
        <v>Cigarette</v>
      </c>
      <c r="D90" s="20">
        <v>8854670</v>
      </c>
      <c r="E90" s="20">
        <v>8569710</v>
      </c>
      <c r="F90" s="20">
        <v>9012130</v>
      </c>
      <c r="G90" s="20">
        <v>8296690</v>
      </c>
      <c r="H90" s="20">
        <v>8973890</v>
      </c>
      <c r="I90" s="20">
        <v>8357220</v>
      </c>
      <c r="J90" s="20">
        <v>8942660</v>
      </c>
      <c r="K90" s="20">
        <v>8411240</v>
      </c>
      <c r="L90" s="20">
        <v>8917470</v>
      </c>
      <c r="M90" s="20">
        <v>8459640</v>
      </c>
      <c r="N90" s="20">
        <v>8897500</v>
      </c>
      <c r="O90" s="20">
        <v>8503200</v>
      </c>
      <c r="P90" s="20">
        <f t="shared" si="1"/>
        <v>104196020</v>
      </c>
    </row>
    <row r="91" spans="1:16" s="18" customFormat="1">
      <c r="A91" s="18">
        <v>2023</v>
      </c>
      <c r="B91" s="18" t="s">
        <v>29</v>
      </c>
      <c r="C91" s="19" t="str">
        <f>_xlfn.XLOOKUP(B91, 'Revenue Codes'!$A$2:$A$99, 'Revenue Codes'!$B$2:$B$99, "")</f>
        <v>Liquor</v>
      </c>
      <c r="D91" s="20"/>
      <c r="E91" s="20"/>
      <c r="F91" s="20"/>
      <c r="G91" s="20"/>
      <c r="H91" s="20"/>
      <c r="I91" s="20"/>
      <c r="J91" s="20"/>
      <c r="K91" s="20"/>
      <c r="L91" s="20"/>
      <c r="M91" s="20"/>
      <c r="N91" s="20"/>
      <c r="O91" s="20"/>
      <c r="P91" s="20">
        <f t="shared" si="1"/>
        <v>0</v>
      </c>
    </row>
    <row r="92" spans="1:16" s="18" customFormat="1">
      <c r="A92" s="18">
        <v>2023</v>
      </c>
      <c r="B92" s="18" t="s">
        <v>30</v>
      </c>
      <c r="C92" s="19" t="str">
        <f>_xlfn.XLOOKUP(B92, 'Revenue Codes'!$A$2:$A$99, 'Revenue Codes'!$B$2:$B$99, "")</f>
        <v>Petroleum Products</v>
      </c>
      <c r="D92" s="20">
        <v>3850000</v>
      </c>
      <c r="E92" s="20">
        <v>3528590</v>
      </c>
      <c r="F92" s="20">
        <v>2693200</v>
      </c>
      <c r="G92" s="20">
        <v>2986030</v>
      </c>
      <c r="H92" s="20">
        <v>3012000</v>
      </c>
      <c r="I92" s="20">
        <v>2959860</v>
      </c>
      <c r="J92" s="20">
        <v>2965320</v>
      </c>
      <c r="K92" s="20">
        <v>2972330</v>
      </c>
      <c r="L92" s="20">
        <v>2979080</v>
      </c>
      <c r="M92" s="20">
        <v>2985870</v>
      </c>
      <c r="N92" s="20">
        <v>3552000</v>
      </c>
      <c r="O92" s="20">
        <v>2999450</v>
      </c>
      <c r="P92" s="20">
        <f t="shared" si="1"/>
        <v>37483730</v>
      </c>
    </row>
    <row r="93" spans="1:16" s="18" customFormat="1">
      <c r="A93" s="18">
        <v>2023</v>
      </c>
      <c r="B93" s="18" t="s">
        <v>31</v>
      </c>
      <c r="C93" s="19" t="str">
        <f>_xlfn.XLOOKUP(B93, 'Revenue Codes'!$A$2:$A$99, 'Revenue Codes'!$B$2:$B$99, "")</f>
        <v>Motor Vehicles</v>
      </c>
      <c r="D93" s="20">
        <v>100170</v>
      </c>
      <c r="E93" s="20">
        <v>2043000</v>
      </c>
      <c r="F93" s="20">
        <v>2006680</v>
      </c>
      <c r="G93" s="20">
        <v>274000</v>
      </c>
      <c r="H93" s="20">
        <v>345000</v>
      </c>
      <c r="I93" s="20">
        <v>509000</v>
      </c>
      <c r="J93" s="20">
        <v>670000</v>
      </c>
      <c r="K93" s="20">
        <v>830000</v>
      </c>
      <c r="L93" s="20">
        <v>991000</v>
      </c>
      <c r="M93" s="20">
        <v>1152000</v>
      </c>
      <c r="N93" s="20">
        <v>1312000</v>
      </c>
      <c r="O93" s="20">
        <v>1473000</v>
      </c>
      <c r="P93" s="20">
        <f t="shared" si="1"/>
        <v>11705850</v>
      </c>
    </row>
    <row r="94" spans="1:16" s="18" customFormat="1">
      <c r="A94" s="18">
        <v>2023</v>
      </c>
      <c r="B94" s="18" t="s">
        <v>32</v>
      </c>
      <c r="C94" s="19" t="str">
        <f>_xlfn.XLOOKUP(B94, 'Revenue Codes'!$A$2:$A$99, 'Revenue Codes'!$B$2:$B$99, "")</f>
        <v>Excise (Other)</v>
      </c>
      <c r="D94" s="20">
        <v>456320</v>
      </c>
      <c r="E94" s="20">
        <v>689590</v>
      </c>
      <c r="F94" s="20">
        <v>168310</v>
      </c>
      <c r="G94" s="20">
        <v>370890</v>
      </c>
      <c r="H94" s="20">
        <v>399210</v>
      </c>
      <c r="I94" s="20">
        <v>406130</v>
      </c>
      <c r="J94" s="20">
        <v>410420</v>
      </c>
      <c r="K94" s="20">
        <v>414390</v>
      </c>
      <c r="L94" s="20">
        <v>418320</v>
      </c>
      <c r="M94" s="20">
        <v>422250</v>
      </c>
      <c r="N94" s="20">
        <v>426170</v>
      </c>
      <c r="O94" s="20">
        <v>430100</v>
      </c>
      <c r="P94" s="20">
        <f t="shared" si="1"/>
        <v>5012100</v>
      </c>
    </row>
    <row r="95" spans="1:16" s="18" customFormat="1">
      <c r="A95" s="18">
        <v>2023</v>
      </c>
      <c r="B95" s="18" t="s">
        <v>33</v>
      </c>
      <c r="C95" s="19" t="str">
        <f>_xlfn.XLOOKUP(B95, 'Revenue Codes'!$A$2:$A$99, 'Revenue Codes'!$B$2:$B$99, "")</f>
        <v>NBT</v>
      </c>
      <c r="D95" s="20">
        <v>1000</v>
      </c>
      <c r="E95" s="20">
        <v>1000</v>
      </c>
      <c r="F95" s="20">
        <v>1000</v>
      </c>
      <c r="G95" s="20">
        <v>300</v>
      </c>
      <c r="H95" s="20">
        <v>400</v>
      </c>
      <c r="I95" s="20">
        <v>1000</v>
      </c>
      <c r="J95" s="20">
        <v>1000</v>
      </c>
      <c r="K95" s="20">
        <v>500</v>
      </c>
      <c r="L95" s="20">
        <v>1000</v>
      </c>
      <c r="M95" s="20">
        <v>1000</v>
      </c>
      <c r="N95" s="20">
        <v>1000</v>
      </c>
      <c r="O95" s="20">
        <v>1000</v>
      </c>
      <c r="P95" s="20">
        <f t="shared" si="1"/>
        <v>10200</v>
      </c>
    </row>
    <row r="96" spans="1:16" s="18" customFormat="1">
      <c r="A96" s="18">
        <v>2023</v>
      </c>
      <c r="B96" s="18" t="s">
        <v>35</v>
      </c>
      <c r="C96" s="19" t="str">
        <f>_xlfn.XLOOKUP(B96, 'Revenue Codes'!$A$2:$A$99, 'Revenue Codes'!$B$2:$B$99, "")</f>
        <v>VEL</v>
      </c>
      <c r="D96" s="20">
        <v>5000</v>
      </c>
      <c r="E96" s="20">
        <v>4000</v>
      </c>
      <c r="F96" s="20">
        <v>6000</v>
      </c>
      <c r="G96" s="20">
        <v>6000</v>
      </c>
      <c r="H96" s="20">
        <v>5000</v>
      </c>
      <c r="I96" s="20">
        <v>7000</v>
      </c>
      <c r="J96" s="20">
        <v>6000</v>
      </c>
      <c r="K96" s="20">
        <v>7000</v>
      </c>
      <c r="L96" s="20">
        <v>4000</v>
      </c>
      <c r="M96" s="20">
        <v>9000</v>
      </c>
      <c r="N96" s="20">
        <v>7000</v>
      </c>
      <c r="O96" s="20">
        <v>7000</v>
      </c>
      <c r="P96" s="20">
        <f t="shared" si="1"/>
        <v>73000</v>
      </c>
    </row>
    <row r="97" spans="1:16" s="18" customFormat="1">
      <c r="A97" s="18">
        <v>2023</v>
      </c>
      <c r="B97" s="18" t="s">
        <v>36</v>
      </c>
      <c r="C97" s="19" t="str">
        <f>_xlfn.XLOOKUP(B97, 'Revenue Codes'!$A$2:$A$99, 'Revenue Codes'!$B$2:$B$99, "")</f>
        <v>ESC</v>
      </c>
      <c r="D97" s="20">
        <v>1000</v>
      </c>
      <c r="E97" s="20">
        <v>500</v>
      </c>
      <c r="F97" s="20">
        <v>400</v>
      </c>
      <c r="G97" s="20">
        <v>1200</v>
      </c>
      <c r="H97" s="20">
        <v>400</v>
      </c>
      <c r="I97" s="20">
        <v>1300</v>
      </c>
      <c r="J97" s="20">
        <v>200</v>
      </c>
      <c r="K97" s="20">
        <v>600</v>
      </c>
      <c r="L97" s="20">
        <v>400</v>
      </c>
      <c r="M97" s="20">
        <v>200</v>
      </c>
      <c r="N97" s="20">
        <v>300</v>
      </c>
      <c r="O97" s="20">
        <v>1200</v>
      </c>
      <c r="P97" s="20">
        <f t="shared" si="1"/>
        <v>7700</v>
      </c>
    </row>
    <row r="98" spans="1:16" s="18" customFormat="1">
      <c r="A98" s="18">
        <v>2023</v>
      </c>
      <c r="B98" s="18" t="s">
        <v>37</v>
      </c>
      <c r="C98" s="19" t="str">
        <f>_xlfn.XLOOKUP(B98, 'Revenue Codes'!$A$2:$A$99, 'Revenue Codes'!$B$2:$B$99, "")</f>
        <v>Sales of Garment</v>
      </c>
      <c r="D98" s="20">
        <v>4000</v>
      </c>
      <c r="E98" s="20">
        <v>6480</v>
      </c>
      <c r="F98" s="20">
        <v>22630</v>
      </c>
      <c r="G98" s="20">
        <v>6470</v>
      </c>
      <c r="H98" s="20">
        <v>9470</v>
      </c>
      <c r="I98" s="20">
        <v>10000</v>
      </c>
      <c r="J98" s="20">
        <v>9020</v>
      </c>
      <c r="K98" s="20">
        <v>12000</v>
      </c>
      <c r="L98" s="20">
        <v>9000</v>
      </c>
      <c r="M98" s="20">
        <v>15000</v>
      </c>
      <c r="N98" s="20">
        <v>10000</v>
      </c>
      <c r="O98" s="20">
        <v>9000</v>
      </c>
      <c r="P98" s="20">
        <f t="shared" si="1"/>
        <v>123070</v>
      </c>
    </row>
    <row r="99" spans="1:16" s="18" customFormat="1">
      <c r="A99" s="18">
        <v>2023</v>
      </c>
      <c r="B99" s="18" t="s">
        <v>38</v>
      </c>
      <c r="C99" s="19" t="str">
        <f>_xlfn.XLOOKUP(B99, 'Revenue Codes'!$A$2:$A$99, 'Revenue Codes'!$B$2:$B$99, "")</f>
        <v>Fine &amp; Forfeits</v>
      </c>
      <c r="D99" s="20">
        <v>125160</v>
      </c>
      <c r="E99" s="20">
        <v>187990</v>
      </c>
      <c r="F99" s="20">
        <v>250000</v>
      </c>
      <c r="G99" s="20">
        <v>220660</v>
      </c>
      <c r="H99" s="20">
        <v>233590</v>
      </c>
      <c r="I99" s="20">
        <v>234890</v>
      </c>
      <c r="J99" s="20">
        <v>236550</v>
      </c>
      <c r="K99" s="20">
        <v>238200</v>
      </c>
      <c r="L99" s="20">
        <v>239850</v>
      </c>
      <c r="M99" s="20">
        <v>241500</v>
      </c>
      <c r="N99" s="20">
        <v>243150</v>
      </c>
      <c r="O99" s="20">
        <v>244800</v>
      </c>
      <c r="P99" s="20">
        <f t="shared" si="1"/>
        <v>2696340</v>
      </c>
    </row>
    <row r="100" spans="1:16" s="18" customFormat="1">
      <c r="A100" s="18">
        <v>2023</v>
      </c>
      <c r="B100" s="18" t="s">
        <v>39</v>
      </c>
      <c r="C100" s="19" t="str">
        <f>_xlfn.XLOOKUP(B100, 'Revenue Codes'!$A$2:$A$99, 'Revenue Codes'!$B$2:$B$99, "")</f>
        <v>Sundris &amp; Others</v>
      </c>
      <c r="D100" s="20">
        <v>13000</v>
      </c>
      <c r="E100" s="20">
        <v>10730</v>
      </c>
      <c r="F100" s="20">
        <v>10000</v>
      </c>
      <c r="G100" s="20">
        <v>12000</v>
      </c>
      <c r="H100" s="20">
        <v>15000</v>
      </c>
      <c r="I100" s="20">
        <v>22000</v>
      </c>
      <c r="J100" s="20">
        <v>28280</v>
      </c>
      <c r="K100" s="20">
        <v>15000</v>
      </c>
      <c r="L100" s="20">
        <v>16910</v>
      </c>
      <c r="M100" s="20">
        <v>10000</v>
      </c>
      <c r="N100" s="20">
        <v>23000</v>
      </c>
      <c r="O100" s="20">
        <v>15000</v>
      </c>
      <c r="P100" s="20">
        <f t="shared" si="1"/>
        <v>190920</v>
      </c>
    </row>
    <row r="101" spans="1:16" s="18" customFormat="1">
      <c r="A101" s="18">
        <v>2023</v>
      </c>
      <c r="B101" s="18" t="s">
        <v>25</v>
      </c>
      <c r="C101" s="19" t="str">
        <f>_xlfn.XLOOKUP(B101, 'Revenue Codes'!$A$2:$A$99, 'Revenue Codes'!$B$2:$B$99, "")</f>
        <v>LXT</v>
      </c>
      <c r="D101" s="20">
        <v>37000</v>
      </c>
      <c r="E101" s="20">
        <v>36000</v>
      </c>
      <c r="F101" s="20">
        <v>35000</v>
      </c>
      <c r="G101" s="20">
        <v>26000</v>
      </c>
      <c r="H101" s="20">
        <v>19000</v>
      </c>
      <c r="I101" s="20">
        <v>14000</v>
      </c>
      <c r="J101" s="20">
        <v>98000</v>
      </c>
      <c r="K101" s="20">
        <v>63000</v>
      </c>
      <c r="L101" s="20">
        <v>35000</v>
      </c>
      <c r="M101" s="20">
        <v>13000</v>
      </c>
      <c r="N101" s="20">
        <v>37190</v>
      </c>
      <c r="O101" s="20">
        <v>177440</v>
      </c>
      <c r="P101" s="20">
        <f t="shared" si="1"/>
        <v>590630</v>
      </c>
    </row>
    <row r="102" spans="1:16" s="18" customFormat="1">
      <c r="A102" s="18">
        <v>2023</v>
      </c>
      <c r="B102" s="18" t="s">
        <v>40</v>
      </c>
      <c r="C102" s="19" t="str">
        <f>_xlfn.XLOOKUP(B102, 'Revenue Codes'!$A$2:$A$99, 'Revenue Codes'!$B$2:$B$99, "")</f>
        <v>Other Receipts</v>
      </c>
      <c r="D102" s="20">
        <v>3000</v>
      </c>
      <c r="E102" s="20">
        <v>4000</v>
      </c>
      <c r="F102" s="20">
        <v>2380</v>
      </c>
      <c r="G102" s="20">
        <v>1440</v>
      </c>
      <c r="H102" s="20">
        <v>3000</v>
      </c>
      <c r="I102" s="20">
        <v>1250</v>
      </c>
      <c r="J102" s="20">
        <v>5000</v>
      </c>
      <c r="K102" s="20">
        <v>4000</v>
      </c>
      <c r="L102" s="20">
        <v>3000</v>
      </c>
      <c r="M102" s="20">
        <v>6000</v>
      </c>
      <c r="N102" s="20">
        <v>4000</v>
      </c>
      <c r="O102" s="20">
        <v>2000</v>
      </c>
      <c r="P102" s="20">
        <f t="shared" si="1"/>
        <v>39070</v>
      </c>
    </row>
    <row r="103" spans="1:16" s="18" customFormat="1">
      <c r="A103" s="18">
        <v>2021</v>
      </c>
      <c r="B103" s="18" t="s">
        <v>17</v>
      </c>
      <c r="C103" s="19" t="str">
        <f>_xlfn.XLOOKUP(B103, 'Revenue Codes'!$A$2:$A$99, 'Revenue Codes'!$B$2:$B$99, "")</f>
        <v xml:space="preserve">Import Duty </v>
      </c>
      <c r="D103" s="20">
        <v>1430720</v>
      </c>
      <c r="E103" s="20">
        <v>1474310</v>
      </c>
      <c r="F103" s="20">
        <v>1484540</v>
      </c>
      <c r="G103" s="20">
        <v>1367650</v>
      </c>
      <c r="H103" s="20">
        <v>1424380</v>
      </c>
      <c r="I103" s="20">
        <v>1570680</v>
      </c>
      <c r="J103" s="20">
        <v>1544380</v>
      </c>
      <c r="K103" s="20">
        <v>1452990</v>
      </c>
      <c r="L103" s="20">
        <v>1477010</v>
      </c>
      <c r="M103" s="20">
        <v>1599650</v>
      </c>
      <c r="N103" s="20">
        <v>1502820</v>
      </c>
      <c r="O103" s="20">
        <v>1670870</v>
      </c>
      <c r="P103" s="20">
        <f t="shared" si="1"/>
        <v>18000000</v>
      </c>
    </row>
    <row r="104" spans="1:16" s="18" customFormat="1">
      <c r="A104" s="18">
        <v>2021</v>
      </c>
      <c r="B104" s="18" t="s">
        <v>19</v>
      </c>
      <c r="C104" s="19" t="str">
        <f>_xlfn.XLOOKUP(B104, 'Revenue Codes'!$A$2:$A$99, 'Revenue Codes'!$B$2:$B$99, "")</f>
        <v xml:space="preserve">Export Duty </v>
      </c>
      <c r="D104" s="20">
        <v>1060</v>
      </c>
      <c r="E104" s="20">
        <v>1480</v>
      </c>
      <c r="F104" s="20">
        <v>1060</v>
      </c>
      <c r="G104" s="20">
        <v>1270</v>
      </c>
      <c r="H104" s="20">
        <v>1060</v>
      </c>
      <c r="I104" s="20">
        <v>1270</v>
      </c>
      <c r="J104" s="20">
        <v>1480</v>
      </c>
      <c r="K104" s="20">
        <v>1480</v>
      </c>
      <c r="L104" s="20">
        <v>1060</v>
      </c>
      <c r="M104" s="20">
        <v>1270</v>
      </c>
      <c r="N104" s="20">
        <v>1060</v>
      </c>
      <c r="O104" s="20">
        <v>1500</v>
      </c>
      <c r="P104" s="20">
        <f t="shared" si="1"/>
        <v>15050</v>
      </c>
    </row>
    <row r="105" spans="1:16" s="18" customFormat="1">
      <c r="A105" s="18">
        <v>2021</v>
      </c>
      <c r="B105" s="18" t="s">
        <v>20</v>
      </c>
      <c r="C105" s="19" t="str">
        <f>_xlfn.XLOOKUP(B105, 'Revenue Codes'!$A$2:$A$99, 'Revenue Codes'!$B$2:$B$99, "")</f>
        <v xml:space="preserve">PAL </v>
      </c>
      <c r="D105" s="20">
        <v>1496570</v>
      </c>
      <c r="E105" s="20">
        <v>1359130</v>
      </c>
      <c r="F105" s="20">
        <v>1392810</v>
      </c>
      <c r="G105" s="20">
        <v>1452630</v>
      </c>
      <c r="H105" s="20">
        <v>1383930</v>
      </c>
      <c r="I105" s="20">
        <v>1392200</v>
      </c>
      <c r="J105" s="20">
        <v>1400470</v>
      </c>
      <c r="K105" s="20">
        <v>1408740</v>
      </c>
      <c r="L105" s="20">
        <v>1428500</v>
      </c>
      <c r="M105" s="20">
        <v>1464820</v>
      </c>
      <c r="N105" s="20">
        <v>1391540</v>
      </c>
      <c r="O105" s="20">
        <v>1428660</v>
      </c>
      <c r="P105" s="20">
        <f t="shared" si="1"/>
        <v>17000000</v>
      </c>
    </row>
    <row r="106" spans="1:16" s="18" customFormat="1">
      <c r="A106" s="18">
        <v>2021</v>
      </c>
      <c r="B106" s="18" t="s">
        <v>21</v>
      </c>
      <c r="C106" s="19" t="str">
        <f>_xlfn.XLOOKUP(B106, 'Revenue Codes'!$A$2:$A$99, 'Revenue Codes'!$B$2:$B$99, "")</f>
        <v xml:space="preserve">Cess (Import) </v>
      </c>
      <c r="D106" s="20">
        <v>568440</v>
      </c>
      <c r="E106" s="20">
        <v>561430</v>
      </c>
      <c r="F106" s="20">
        <v>563030</v>
      </c>
      <c r="G106" s="20">
        <v>541490</v>
      </c>
      <c r="H106" s="20">
        <v>505270</v>
      </c>
      <c r="I106" s="20">
        <v>567860</v>
      </c>
      <c r="J106" s="20">
        <v>588460</v>
      </c>
      <c r="K106" s="20">
        <v>543920</v>
      </c>
      <c r="L106" s="20">
        <v>572680</v>
      </c>
      <c r="M106" s="20">
        <v>603480</v>
      </c>
      <c r="N106" s="20">
        <v>514350</v>
      </c>
      <c r="O106" s="20">
        <v>619590</v>
      </c>
      <c r="P106" s="20">
        <f t="shared" si="1"/>
        <v>6750000</v>
      </c>
    </row>
    <row r="107" spans="1:16" s="18" customFormat="1">
      <c r="A107" s="18">
        <v>2021</v>
      </c>
      <c r="B107" s="18" t="s">
        <v>22</v>
      </c>
      <c r="C107" s="19" t="str">
        <f>_xlfn.XLOOKUP(B107, 'Revenue Codes'!$A$2:$A$99, 'Revenue Codes'!$B$2:$B$99, "")</f>
        <v>Cess (Export)</v>
      </c>
      <c r="D107" s="20">
        <v>21060</v>
      </c>
      <c r="E107" s="20">
        <v>19990</v>
      </c>
      <c r="F107" s="20">
        <v>21490</v>
      </c>
      <c r="G107" s="20">
        <v>19190</v>
      </c>
      <c r="H107" s="20">
        <v>23480</v>
      </c>
      <c r="I107" s="20">
        <v>19760</v>
      </c>
      <c r="J107" s="20">
        <v>22540</v>
      </c>
      <c r="K107" s="20">
        <v>22840</v>
      </c>
      <c r="L107" s="20">
        <v>13000</v>
      </c>
      <c r="M107" s="20">
        <v>25330</v>
      </c>
      <c r="N107" s="20">
        <v>20000</v>
      </c>
      <c r="O107" s="20">
        <v>21320</v>
      </c>
      <c r="P107" s="20">
        <f t="shared" si="1"/>
        <v>250000</v>
      </c>
    </row>
    <row r="108" spans="1:16" s="18" customFormat="1">
      <c r="A108" s="18">
        <v>2021</v>
      </c>
      <c r="B108" s="18" t="s">
        <v>24</v>
      </c>
      <c r="C108" s="19" t="str">
        <f>_xlfn.XLOOKUP(B108, 'Revenue Codes'!$A$2:$A$99, 'Revenue Codes'!$B$2:$B$99, "")</f>
        <v>SCL</v>
      </c>
      <c r="D108" s="20">
        <v>903010</v>
      </c>
      <c r="E108" s="20">
        <v>907850</v>
      </c>
      <c r="F108" s="20">
        <v>911710</v>
      </c>
      <c r="G108" s="20">
        <v>910530</v>
      </c>
      <c r="H108" s="20">
        <v>913880</v>
      </c>
      <c r="I108" s="20">
        <v>924760</v>
      </c>
      <c r="J108" s="20">
        <v>903560</v>
      </c>
      <c r="K108" s="20">
        <v>933460</v>
      </c>
      <c r="L108" s="20">
        <v>937810</v>
      </c>
      <c r="M108" s="20">
        <v>935590</v>
      </c>
      <c r="N108" s="20">
        <v>901550</v>
      </c>
      <c r="O108" s="20">
        <v>916290</v>
      </c>
      <c r="P108" s="20">
        <f t="shared" si="1"/>
        <v>11000000</v>
      </c>
    </row>
    <row r="109" spans="1:16" s="18" customFormat="1">
      <c r="A109" s="18">
        <v>2021</v>
      </c>
      <c r="B109" s="18" t="s">
        <v>26</v>
      </c>
      <c r="C109" s="19" t="str">
        <f>_xlfn.XLOOKUP(B109, 'Revenue Codes'!$A$2:$A$99, 'Revenue Codes'!$B$2:$B$99, "")</f>
        <v>VAT</v>
      </c>
      <c r="D109" s="20">
        <v>1068750</v>
      </c>
      <c r="E109" s="20">
        <v>887730</v>
      </c>
      <c r="F109" s="20">
        <v>811680</v>
      </c>
      <c r="G109" s="20">
        <v>967510</v>
      </c>
      <c r="H109" s="20">
        <v>789310</v>
      </c>
      <c r="I109" s="20">
        <v>885240</v>
      </c>
      <c r="J109" s="20">
        <v>845950</v>
      </c>
      <c r="K109" s="20">
        <v>889570</v>
      </c>
      <c r="L109" s="20">
        <v>774840</v>
      </c>
      <c r="M109" s="20">
        <v>976180</v>
      </c>
      <c r="N109" s="20">
        <v>1022490</v>
      </c>
      <c r="O109" s="20">
        <v>1080760</v>
      </c>
      <c r="P109" s="20">
        <f t="shared" si="1"/>
        <v>11000010</v>
      </c>
    </row>
    <row r="110" spans="1:16" s="18" customFormat="1">
      <c r="A110" s="18">
        <v>2021</v>
      </c>
      <c r="B110" s="18" t="s">
        <v>28</v>
      </c>
      <c r="C110" s="19" t="str">
        <f>_xlfn.XLOOKUP(B110, 'Revenue Codes'!$A$2:$A$99, 'Revenue Codes'!$B$2:$B$99, "")</f>
        <v>Cigarette</v>
      </c>
      <c r="D110" s="20">
        <v>1083000</v>
      </c>
      <c r="E110" s="20">
        <v>1044880</v>
      </c>
      <c r="F110" s="20">
        <v>1094380</v>
      </c>
      <c r="G110" s="20">
        <v>1321000</v>
      </c>
      <c r="H110" s="20">
        <v>1059000</v>
      </c>
      <c r="I110" s="20">
        <v>1081630</v>
      </c>
      <c r="J110" s="20">
        <v>1080500</v>
      </c>
      <c r="K110" s="20">
        <v>1007880</v>
      </c>
      <c r="L110" s="20">
        <v>1002250</v>
      </c>
      <c r="M110" s="20">
        <v>1045130</v>
      </c>
      <c r="N110" s="20">
        <v>1087500</v>
      </c>
      <c r="O110" s="20">
        <v>1092880</v>
      </c>
      <c r="P110" s="20">
        <f t="shared" si="1"/>
        <v>13000030</v>
      </c>
    </row>
    <row r="111" spans="1:16" s="18" customFormat="1">
      <c r="A111" s="18">
        <v>2021</v>
      </c>
      <c r="B111" s="18" t="s">
        <v>30</v>
      </c>
      <c r="C111" s="19" t="str">
        <f>_xlfn.XLOOKUP(B111, 'Revenue Codes'!$A$2:$A$99, 'Revenue Codes'!$B$2:$B$99, "")</f>
        <v>Petroleum Products</v>
      </c>
      <c r="D111" s="20">
        <v>631920</v>
      </c>
      <c r="E111" s="20">
        <v>548480</v>
      </c>
      <c r="F111" s="20">
        <v>563810</v>
      </c>
      <c r="G111" s="20">
        <v>478800</v>
      </c>
      <c r="H111" s="20">
        <v>903450</v>
      </c>
      <c r="I111" s="20">
        <v>775930</v>
      </c>
      <c r="J111" s="20">
        <v>709540</v>
      </c>
      <c r="K111" s="20">
        <v>1021640</v>
      </c>
      <c r="L111" s="20">
        <v>808900</v>
      </c>
      <c r="M111" s="20">
        <v>631380</v>
      </c>
      <c r="N111" s="20">
        <v>805440</v>
      </c>
      <c r="O111" s="20">
        <v>620720</v>
      </c>
      <c r="P111" s="20">
        <f t="shared" si="1"/>
        <v>8500010</v>
      </c>
    </row>
    <row r="112" spans="1:16" s="18" customFormat="1">
      <c r="A112" s="18">
        <v>2021</v>
      </c>
      <c r="B112" s="18" t="s">
        <v>31</v>
      </c>
      <c r="C112" s="19" t="str">
        <f>_xlfn.XLOOKUP(B112, 'Revenue Codes'!$A$2:$A$99, 'Revenue Codes'!$B$2:$B$99, "")</f>
        <v>Motor Vehicles</v>
      </c>
      <c r="D112" s="20">
        <v>625050</v>
      </c>
      <c r="E112" s="20">
        <v>828950</v>
      </c>
      <c r="F112" s="20">
        <v>808120</v>
      </c>
      <c r="G112" s="20">
        <v>824950</v>
      </c>
      <c r="H112" s="20">
        <v>804960</v>
      </c>
      <c r="I112" s="20">
        <v>739840</v>
      </c>
      <c r="J112" s="20">
        <v>795420</v>
      </c>
      <c r="K112" s="20">
        <v>663610</v>
      </c>
      <c r="L112" s="20">
        <v>830150</v>
      </c>
      <c r="M112" s="20">
        <v>709950</v>
      </c>
      <c r="N112" s="20">
        <v>742080</v>
      </c>
      <c r="O112" s="20">
        <v>626920</v>
      </c>
      <c r="P112" s="20">
        <f t="shared" si="1"/>
        <v>9000000</v>
      </c>
    </row>
    <row r="113" spans="1:16" s="18" customFormat="1">
      <c r="A113" s="18">
        <v>2021</v>
      </c>
      <c r="B113" s="18" t="s">
        <v>32</v>
      </c>
      <c r="C113" s="19" t="str">
        <f>_xlfn.XLOOKUP(B113, 'Revenue Codes'!$A$2:$A$99, 'Revenue Codes'!$B$2:$B$99, "")</f>
        <v>Excise (Other)</v>
      </c>
      <c r="D113" s="20">
        <v>80260</v>
      </c>
      <c r="E113" s="20">
        <v>80820</v>
      </c>
      <c r="F113" s="20">
        <v>81380</v>
      </c>
      <c r="G113" s="20">
        <v>81940</v>
      </c>
      <c r="H113" s="20">
        <v>82500</v>
      </c>
      <c r="I113" s="20">
        <v>83060</v>
      </c>
      <c r="J113" s="20">
        <v>83620</v>
      </c>
      <c r="K113" s="20">
        <v>84180</v>
      </c>
      <c r="L113" s="20">
        <v>84750</v>
      </c>
      <c r="M113" s="20">
        <v>85310</v>
      </c>
      <c r="N113" s="20">
        <v>85870</v>
      </c>
      <c r="O113" s="20">
        <v>86310</v>
      </c>
      <c r="P113" s="20">
        <f t="shared" si="1"/>
        <v>1000000</v>
      </c>
    </row>
    <row r="114" spans="1:16" s="18" customFormat="1">
      <c r="A114" s="18">
        <v>2021</v>
      </c>
      <c r="B114" s="18" t="s">
        <v>35</v>
      </c>
      <c r="C114" s="19" t="str">
        <f>_xlfn.XLOOKUP(B114, 'Revenue Codes'!$A$2:$A$99, 'Revenue Codes'!$B$2:$B$99, "")</f>
        <v>VEL</v>
      </c>
      <c r="D114" s="20">
        <v>15250</v>
      </c>
      <c r="E114" s="20">
        <v>15090</v>
      </c>
      <c r="F114" s="20">
        <v>15870</v>
      </c>
      <c r="G114" s="20">
        <v>14710</v>
      </c>
      <c r="H114" s="20">
        <v>15020</v>
      </c>
      <c r="I114" s="20">
        <v>14320</v>
      </c>
      <c r="J114" s="20">
        <v>16300</v>
      </c>
      <c r="K114" s="20">
        <v>13920</v>
      </c>
      <c r="L114" s="20">
        <v>15870</v>
      </c>
      <c r="M114" s="20">
        <v>13530</v>
      </c>
      <c r="N114" s="20">
        <v>13340</v>
      </c>
      <c r="O114" s="20">
        <v>16770</v>
      </c>
      <c r="P114" s="20">
        <f t="shared" si="1"/>
        <v>179990</v>
      </c>
    </row>
    <row r="115" spans="1:16" s="18" customFormat="1">
      <c r="A115" s="18">
        <v>2021</v>
      </c>
      <c r="B115" s="18" t="s">
        <v>25</v>
      </c>
      <c r="C115" s="19" t="str">
        <f>_xlfn.XLOOKUP(B115, 'Revenue Codes'!$A$2:$A$99, 'Revenue Codes'!$B$2:$B$99, "")</f>
        <v>LXT</v>
      </c>
      <c r="D115" s="20">
        <v>17300</v>
      </c>
      <c r="E115" s="20">
        <v>18500</v>
      </c>
      <c r="F115" s="20">
        <v>17900</v>
      </c>
      <c r="G115" s="20">
        <v>18700</v>
      </c>
      <c r="H115" s="20">
        <v>17800</v>
      </c>
      <c r="I115" s="20">
        <v>18500</v>
      </c>
      <c r="J115" s="20">
        <v>18300</v>
      </c>
      <c r="K115" s="20">
        <v>17600</v>
      </c>
      <c r="L115" s="20">
        <v>17900</v>
      </c>
      <c r="M115" s="20">
        <v>18400</v>
      </c>
      <c r="N115" s="20">
        <v>18500</v>
      </c>
      <c r="O115" s="20">
        <v>18800</v>
      </c>
      <c r="P115" s="20">
        <f t="shared" si="1"/>
        <v>218200</v>
      </c>
    </row>
    <row r="116" spans="1:16" s="18" customFormat="1">
      <c r="A116" s="18">
        <v>2021</v>
      </c>
      <c r="B116" s="18" t="s">
        <v>33</v>
      </c>
      <c r="C116" s="19" t="str">
        <f>_xlfn.XLOOKUP(B116, 'Revenue Codes'!$A$2:$A$99, 'Revenue Codes'!$B$2:$B$99, "")</f>
        <v>NBT</v>
      </c>
      <c r="D116" s="20">
        <v>600</v>
      </c>
      <c r="E116" s="20">
        <v>600</v>
      </c>
      <c r="F116" s="20">
        <v>600</v>
      </c>
      <c r="G116" s="20"/>
      <c r="H116" s="20">
        <v>100</v>
      </c>
      <c r="I116" s="20">
        <v>400</v>
      </c>
      <c r="J116" s="20">
        <v>500</v>
      </c>
      <c r="K116" s="20">
        <v>500</v>
      </c>
      <c r="L116" s="20">
        <v>500</v>
      </c>
      <c r="M116" s="20">
        <v>500</v>
      </c>
      <c r="N116" s="20">
        <v>500</v>
      </c>
      <c r="O116" s="20">
        <v>500</v>
      </c>
      <c r="P116" s="20">
        <f t="shared" si="1"/>
        <v>5300</v>
      </c>
    </row>
    <row r="117" spans="1:16" s="18" customFormat="1">
      <c r="A117" s="18">
        <v>2021</v>
      </c>
      <c r="B117" s="18" t="s">
        <v>36</v>
      </c>
      <c r="C117" s="19" t="str">
        <f>_xlfn.XLOOKUP(B117, 'Revenue Codes'!$A$2:$A$99, 'Revenue Codes'!$B$2:$B$99, "")</f>
        <v>ESC</v>
      </c>
      <c r="D117" s="20"/>
      <c r="E117" s="20"/>
      <c r="F117" s="20"/>
      <c r="G117" s="20"/>
      <c r="H117" s="20"/>
      <c r="I117" s="20"/>
      <c r="J117" s="20"/>
      <c r="K117" s="20"/>
      <c r="L117" s="20"/>
      <c r="M117" s="20"/>
      <c r="N117" s="20"/>
      <c r="O117" s="20"/>
      <c r="P117" s="20">
        <f t="shared" si="1"/>
        <v>0</v>
      </c>
    </row>
    <row r="118" spans="1:16" s="18" customFormat="1">
      <c r="A118" s="18">
        <v>2021</v>
      </c>
      <c r="B118" s="18" t="s">
        <v>37</v>
      </c>
      <c r="C118" s="19" t="str">
        <f>_xlfn.XLOOKUP(B118, 'Revenue Codes'!$A$2:$A$99, 'Revenue Codes'!$B$2:$B$99, "")</f>
        <v>Sales of Garment</v>
      </c>
      <c r="D118" s="20">
        <v>1000</v>
      </c>
      <c r="E118" s="20">
        <v>1400</v>
      </c>
      <c r="F118" s="20">
        <v>2400</v>
      </c>
      <c r="G118" s="20">
        <v>1200</v>
      </c>
      <c r="H118" s="20">
        <v>1400</v>
      </c>
      <c r="I118" s="20">
        <v>1300</v>
      </c>
      <c r="J118" s="20">
        <v>1100</v>
      </c>
      <c r="K118" s="20">
        <v>600</v>
      </c>
      <c r="L118" s="20">
        <v>1200</v>
      </c>
      <c r="M118" s="20">
        <v>600</v>
      </c>
      <c r="N118" s="20">
        <v>1200</v>
      </c>
      <c r="O118" s="20">
        <v>1000</v>
      </c>
      <c r="P118" s="20">
        <f t="shared" si="1"/>
        <v>14400</v>
      </c>
    </row>
    <row r="119" spans="1:16" s="18" customFormat="1">
      <c r="A119" s="18">
        <v>2021</v>
      </c>
      <c r="B119" s="18" t="s">
        <v>38</v>
      </c>
      <c r="C119" s="19" t="str">
        <f>_xlfn.XLOOKUP(B119, 'Revenue Codes'!$A$2:$A$99, 'Revenue Codes'!$B$2:$B$99, "")</f>
        <v>Fine &amp; Forfeits</v>
      </c>
      <c r="D119" s="20">
        <v>30600</v>
      </c>
      <c r="E119" s="20">
        <v>30800</v>
      </c>
      <c r="F119" s="20">
        <v>31100</v>
      </c>
      <c r="G119" s="20">
        <v>31300</v>
      </c>
      <c r="H119" s="20">
        <v>31500</v>
      </c>
      <c r="I119" s="20">
        <v>31700</v>
      </c>
      <c r="J119" s="20">
        <v>31900</v>
      </c>
      <c r="K119" s="20">
        <v>32100</v>
      </c>
      <c r="L119" s="20">
        <v>32300</v>
      </c>
      <c r="M119" s="20">
        <v>32600</v>
      </c>
      <c r="N119" s="20">
        <v>32800</v>
      </c>
      <c r="O119" s="20">
        <v>33000</v>
      </c>
      <c r="P119" s="20">
        <f t="shared" si="1"/>
        <v>381700</v>
      </c>
    </row>
    <row r="120" spans="1:16" s="18" customFormat="1">
      <c r="A120" s="18">
        <v>2021</v>
      </c>
      <c r="B120" s="18" t="s">
        <v>39</v>
      </c>
      <c r="C120" s="19" t="str">
        <f>_xlfn.XLOOKUP(B120, 'Revenue Codes'!$A$2:$A$99, 'Revenue Codes'!$B$2:$B$99, "")</f>
        <v>Sundris &amp; Others</v>
      </c>
      <c r="D120" s="20">
        <v>3100</v>
      </c>
      <c r="E120" s="20">
        <v>3100</v>
      </c>
      <c r="F120" s="20">
        <v>3000</v>
      </c>
      <c r="G120" s="20">
        <v>3300</v>
      </c>
      <c r="H120" s="20">
        <v>3300</v>
      </c>
      <c r="I120" s="20">
        <v>3000</v>
      </c>
      <c r="J120" s="20">
        <v>3000</v>
      </c>
      <c r="K120" s="20">
        <v>3100</v>
      </c>
      <c r="L120" s="20">
        <v>3100</v>
      </c>
      <c r="M120" s="20">
        <v>3000</v>
      </c>
      <c r="N120" s="20">
        <v>3400</v>
      </c>
      <c r="O120" s="20">
        <v>3100</v>
      </c>
      <c r="P120" s="20">
        <f t="shared" si="1"/>
        <v>37500</v>
      </c>
    </row>
    <row r="121" spans="1:16" s="18" customFormat="1">
      <c r="A121" s="18">
        <v>2021</v>
      </c>
      <c r="B121" s="18" t="s">
        <v>40</v>
      </c>
      <c r="C121" s="19" t="str">
        <f>_xlfn.XLOOKUP(B121, 'Revenue Codes'!$A$2:$A$99, 'Revenue Codes'!$B$2:$B$99, "")</f>
        <v>Other Receipts</v>
      </c>
      <c r="D121" s="20">
        <v>1500</v>
      </c>
      <c r="E121" s="20">
        <v>1500</v>
      </c>
      <c r="F121" s="20">
        <v>1500</v>
      </c>
      <c r="G121" s="20">
        <v>1500</v>
      </c>
      <c r="H121" s="20">
        <v>1500</v>
      </c>
      <c r="I121" s="20">
        <v>1500</v>
      </c>
      <c r="J121" s="20">
        <v>1500</v>
      </c>
      <c r="K121" s="20">
        <v>1500</v>
      </c>
      <c r="L121" s="20">
        <v>1500</v>
      </c>
      <c r="M121" s="20">
        <v>1500</v>
      </c>
      <c r="N121" s="20">
        <v>1500</v>
      </c>
      <c r="O121" s="20">
        <v>1500</v>
      </c>
      <c r="P121" s="20">
        <f t="shared" si="1"/>
        <v>18000</v>
      </c>
    </row>
    <row r="122" spans="1:16" s="18" customFormat="1">
      <c r="A122" s="18">
        <v>2020</v>
      </c>
      <c r="B122" s="18" t="s">
        <v>17</v>
      </c>
      <c r="C122" s="19" t="str">
        <f>_xlfn.XLOOKUP(B122, 'Revenue Codes'!$A$2:$A$99, 'Revenue Codes'!$B$2:$B$99, "")</f>
        <v xml:space="preserve">Import Duty </v>
      </c>
      <c r="D122" s="20">
        <v>778800</v>
      </c>
      <c r="E122" s="20">
        <v>762200</v>
      </c>
      <c r="F122" s="20">
        <v>810600</v>
      </c>
      <c r="G122" s="20">
        <v>748900</v>
      </c>
      <c r="H122" s="20">
        <v>597900</v>
      </c>
      <c r="I122" s="20">
        <v>554400</v>
      </c>
      <c r="J122" s="20">
        <v>644500</v>
      </c>
      <c r="K122" s="20">
        <v>921000</v>
      </c>
      <c r="L122" s="20">
        <v>960900</v>
      </c>
      <c r="M122" s="20">
        <v>986500</v>
      </c>
      <c r="N122" s="20">
        <v>1001200</v>
      </c>
      <c r="O122" s="20">
        <v>1009300</v>
      </c>
      <c r="P122" s="20">
        <f t="shared" si="1"/>
        <v>9776200</v>
      </c>
    </row>
    <row r="123" spans="1:16" s="18" customFormat="1">
      <c r="A123" s="18">
        <v>2020</v>
      </c>
      <c r="B123" s="18" t="s">
        <v>19</v>
      </c>
      <c r="C123" s="19" t="str">
        <f>_xlfn.XLOOKUP(B123, 'Revenue Codes'!$A$2:$A$99, 'Revenue Codes'!$B$2:$B$99, "")</f>
        <v xml:space="preserve">Export Duty </v>
      </c>
      <c r="D123" s="20">
        <v>400</v>
      </c>
      <c r="E123" s="20">
        <v>400</v>
      </c>
      <c r="F123" s="20">
        <v>500</v>
      </c>
      <c r="G123" s="20">
        <v>400</v>
      </c>
      <c r="H123" s="20">
        <v>600</v>
      </c>
      <c r="I123" s="20">
        <v>600</v>
      </c>
      <c r="J123" s="20">
        <v>500</v>
      </c>
      <c r="K123" s="20">
        <v>500</v>
      </c>
      <c r="L123" s="20">
        <v>600</v>
      </c>
      <c r="M123" s="20">
        <v>700</v>
      </c>
      <c r="N123" s="20">
        <v>700</v>
      </c>
      <c r="O123" s="20">
        <v>800</v>
      </c>
      <c r="P123" s="20">
        <f t="shared" si="1"/>
        <v>6700</v>
      </c>
    </row>
    <row r="124" spans="1:16" s="18" customFormat="1">
      <c r="A124" s="18">
        <v>2020</v>
      </c>
      <c r="B124" s="18" t="s">
        <v>20</v>
      </c>
      <c r="C124" s="19" t="str">
        <f>_xlfn.XLOOKUP(B124, 'Revenue Codes'!$A$2:$A$99, 'Revenue Codes'!$B$2:$B$99, "")</f>
        <v xml:space="preserve">PAL </v>
      </c>
      <c r="D124" s="20">
        <v>752000</v>
      </c>
      <c r="E124" s="20">
        <v>836400</v>
      </c>
      <c r="F124" s="20">
        <v>923000</v>
      </c>
      <c r="G124" s="20">
        <v>768200</v>
      </c>
      <c r="H124" s="20">
        <v>638400</v>
      </c>
      <c r="I124" s="20">
        <v>592000</v>
      </c>
      <c r="J124" s="20">
        <v>688000</v>
      </c>
      <c r="K124" s="20">
        <v>621100</v>
      </c>
      <c r="L124" s="20">
        <v>721500</v>
      </c>
      <c r="M124" s="20">
        <v>774800</v>
      </c>
      <c r="N124" s="20">
        <v>828800</v>
      </c>
      <c r="O124" s="20">
        <v>834300</v>
      </c>
      <c r="P124" s="20">
        <f t="shared" si="1"/>
        <v>8978500</v>
      </c>
    </row>
    <row r="125" spans="1:16" s="18" customFormat="1">
      <c r="A125" s="18">
        <v>2020</v>
      </c>
      <c r="B125" s="18" t="s">
        <v>21</v>
      </c>
      <c r="C125" s="19" t="str">
        <f>_xlfn.XLOOKUP(B125, 'Revenue Codes'!$A$2:$A$99, 'Revenue Codes'!$B$2:$B$99, "")</f>
        <v xml:space="preserve">Cess (Import) </v>
      </c>
      <c r="D125" s="20">
        <v>342450</v>
      </c>
      <c r="E125" s="20">
        <v>344240</v>
      </c>
      <c r="F125" s="20">
        <v>346040</v>
      </c>
      <c r="G125" s="20">
        <v>327800</v>
      </c>
      <c r="H125" s="20">
        <v>359100</v>
      </c>
      <c r="I125" s="20">
        <v>333000</v>
      </c>
      <c r="J125" s="20">
        <v>387000</v>
      </c>
      <c r="K125" s="20">
        <v>485400</v>
      </c>
      <c r="L125" s="20">
        <v>615300</v>
      </c>
      <c r="M125" s="20">
        <v>467000</v>
      </c>
      <c r="N125" s="20">
        <v>431700</v>
      </c>
      <c r="O125" s="20">
        <v>599700</v>
      </c>
      <c r="P125" s="20">
        <f t="shared" si="1"/>
        <v>5038730</v>
      </c>
    </row>
    <row r="126" spans="1:16" s="18" customFormat="1">
      <c r="A126" s="18">
        <v>2020</v>
      </c>
      <c r="B126" s="18" t="s">
        <v>22</v>
      </c>
      <c r="C126" s="19" t="str">
        <f>_xlfn.XLOOKUP(B126, 'Revenue Codes'!$A$2:$A$99, 'Revenue Codes'!$B$2:$B$99, "")</f>
        <v>Cess (Export)</v>
      </c>
      <c r="D126" s="20">
        <v>15900</v>
      </c>
      <c r="E126" s="20">
        <v>16800</v>
      </c>
      <c r="F126" s="20">
        <v>15700</v>
      </c>
      <c r="G126" s="20">
        <v>16200</v>
      </c>
      <c r="H126" s="20">
        <v>79800</v>
      </c>
      <c r="I126" s="20">
        <v>74000</v>
      </c>
      <c r="J126" s="20">
        <v>86000</v>
      </c>
      <c r="K126" s="20">
        <v>16400</v>
      </c>
      <c r="L126" s="20">
        <v>17100</v>
      </c>
      <c r="M126" s="20">
        <v>17500</v>
      </c>
      <c r="N126" s="20">
        <v>17700</v>
      </c>
      <c r="O126" s="20">
        <v>17800</v>
      </c>
      <c r="P126" s="20">
        <f t="shared" si="1"/>
        <v>390900</v>
      </c>
    </row>
    <row r="127" spans="1:16" s="18" customFormat="1">
      <c r="A127" s="18">
        <v>2020</v>
      </c>
      <c r="B127" s="18" t="s">
        <v>24</v>
      </c>
      <c r="C127" s="19" t="str">
        <f>_xlfn.XLOOKUP(B127, 'Revenue Codes'!$A$2:$A$99, 'Revenue Codes'!$B$2:$B$99, "")</f>
        <v>SCL</v>
      </c>
      <c r="D127" s="20">
        <v>481600</v>
      </c>
      <c r="E127" s="20">
        <v>457540</v>
      </c>
      <c r="F127" s="20">
        <v>510200</v>
      </c>
      <c r="G127" s="20">
        <v>462820</v>
      </c>
      <c r="H127" s="20">
        <v>518700</v>
      </c>
      <c r="I127" s="20">
        <v>481000</v>
      </c>
      <c r="J127" s="20">
        <v>559000</v>
      </c>
      <c r="K127" s="20">
        <v>630900</v>
      </c>
      <c r="L127" s="20">
        <v>653500</v>
      </c>
      <c r="M127" s="20">
        <v>668500</v>
      </c>
      <c r="N127" s="20">
        <v>677300</v>
      </c>
      <c r="O127" s="20">
        <v>682300</v>
      </c>
      <c r="P127" s="20">
        <f t="shared" si="1"/>
        <v>6783360</v>
      </c>
    </row>
    <row r="128" spans="1:16" s="18" customFormat="1">
      <c r="A128" s="18">
        <v>2020</v>
      </c>
      <c r="B128" s="18" t="s">
        <v>25</v>
      </c>
      <c r="C128" s="19" t="str">
        <f>_xlfn.XLOOKUP(B128, 'Revenue Codes'!$A$2:$A$99, 'Revenue Codes'!$B$2:$B$99, "")</f>
        <v>LXT</v>
      </c>
      <c r="D128" s="20">
        <v>15400</v>
      </c>
      <c r="E128" s="20">
        <v>14500</v>
      </c>
      <c r="F128" s="20">
        <v>13700</v>
      </c>
      <c r="G128" s="20">
        <v>10800</v>
      </c>
      <c r="H128" s="20">
        <v>99800</v>
      </c>
      <c r="I128" s="20">
        <v>92500</v>
      </c>
      <c r="J128" s="20">
        <v>107500</v>
      </c>
      <c r="K128" s="20">
        <v>14300</v>
      </c>
      <c r="L128" s="20">
        <v>14800</v>
      </c>
      <c r="M128" s="20">
        <v>15200</v>
      </c>
      <c r="N128" s="20">
        <v>15400</v>
      </c>
      <c r="O128" s="20">
        <v>15500</v>
      </c>
      <c r="P128" s="20">
        <f t="shared" si="1"/>
        <v>429400</v>
      </c>
    </row>
    <row r="129" spans="1:16" s="18" customFormat="1">
      <c r="A129" s="18">
        <v>2020</v>
      </c>
      <c r="B129" s="18" t="s">
        <v>26</v>
      </c>
      <c r="C129" s="19" t="str">
        <f>_xlfn.XLOOKUP(B129, 'Revenue Codes'!$A$2:$A$99, 'Revenue Codes'!$B$2:$B$99, "")</f>
        <v>VAT</v>
      </c>
      <c r="D129" s="20">
        <v>587740</v>
      </c>
      <c r="E129" s="20">
        <v>592200</v>
      </c>
      <c r="F129" s="20">
        <v>596660</v>
      </c>
      <c r="G129" s="20">
        <v>601130</v>
      </c>
      <c r="H129" s="20">
        <v>758100</v>
      </c>
      <c r="I129" s="20">
        <v>703000</v>
      </c>
      <c r="J129" s="20">
        <v>817000</v>
      </c>
      <c r="K129" s="20">
        <v>787200</v>
      </c>
      <c r="L129" s="20">
        <v>685700</v>
      </c>
      <c r="M129" s="20">
        <v>863900</v>
      </c>
      <c r="N129" s="20">
        <v>904900</v>
      </c>
      <c r="O129" s="20">
        <v>774700</v>
      </c>
      <c r="P129" s="20">
        <f t="shared" si="1"/>
        <v>8672230</v>
      </c>
    </row>
    <row r="130" spans="1:16" s="18" customFormat="1">
      <c r="A130" s="18">
        <v>2020</v>
      </c>
      <c r="B130" s="18" t="s">
        <v>28</v>
      </c>
      <c r="C130" s="19" t="str">
        <f>_xlfn.XLOOKUP(B130, 'Revenue Codes'!$A$2:$A$99, 'Revenue Codes'!$B$2:$B$99, "")</f>
        <v>Cigarette</v>
      </c>
      <c r="D130" s="20">
        <v>586490</v>
      </c>
      <c r="E130" s="20">
        <v>589710</v>
      </c>
      <c r="F130" s="20">
        <v>622900</v>
      </c>
      <c r="G130" s="20">
        <v>566200</v>
      </c>
      <c r="H130" s="20">
        <v>319200</v>
      </c>
      <c r="I130" s="20">
        <v>620000</v>
      </c>
      <c r="J130" s="20">
        <v>520000</v>
      </c>
      <c r="K130" s="20">
        <v>784400</v>
      </c>
      <c r="L130" s="20">
        <v>812100</v>
      </c>
      <c r="M130" s="20">
        <v>830600</v>
      </c>
      <c r="N130" s="20">
        <v>841400</v>
      </c>
      <c r="O130" s="20">
        <v>847600</v>
      </c>
      <c r="P130" s="20">
        <f t="shared" si="1"/>
        <v>7940600</v>
      </c>
    </row>
    <row r="131" spans="1:16" s="18" customFormat="1">
      <c r="A131" s="18">
        <v>2020</v>
      </c>
      <c r="B131" s="18" t="s">
        <v>29</v>
      </c>
      <c r="C131" s="19" t="str">
        <f>_xlfn.XLOOKUP(B131, 'Revenue Codes'!$A$2:$A$99, 'Revenue Codes'!$B$2:$B$99, "")</f>
        <v>Liquor</v>
      </c>
      <c r="D131" s="20"/>
      <c r="E131" s="20"/>
      <c r="F131" s="20"/>
      <c r="G131" s="20"/>
      <c r="H131" s="20"/>
      <c r="I131" s="20"/>
      <c r="J131" s="20"/>
      <c r="K131" s="20"/>
      <c r="L131" s="20"/>
      <c r="M131" s="20"/>
      <c r="N131" s="20"/>
      <c r="O131" s="20"/>
      <c r="P131" s="20">
        <f t="shared" si="1"/>
        <v>0</v>
      </c>
    </row>
    <row r="132" spans="1:16" s="18" customFormat="1">
      <c r="A132" s="18">
        <v>2020</v>
      </c>
      <c r="B132" s="18" t="s">
        <v>30</v>
      </c>
      <c r="C132" s="19" t="str">
        <f>_xlfn.XLOOKUP(B132, 'Revenue Codes'!$A$2:$A$99, 'Revenue Codes'!$B$2:$B$99, "")</f>
        <v>Petroleum Products</v>
      </c>
      <c r="D132" s="20">
        <v>406200</v>
      </c>
      <c r="E132" s="20">
        <v>520400</v>
      </c>
      <c r="F132" s="20">
        <v>424680</v>
      </c>
      <c r="G132" s="20">
        <v>301980</v>
      </c>
      <c r="H132" s="20">
        <v>199500</v>
      </c>
      <c r="I132" s="20">
        <v>185000</v>
      </c>
      <c r="J132" s="20">
        <v>215000</v>
      </c>
      <c r="K132" s="20">
        <v>507900</v>
      </c>
      <c r="L132" s="20">
        <v>533700</v>
      </c>
      <c r="M132" s="20">
        <v>543900</v>
      </c>
      <c r="N132" s="20">
        <v>551200</v>
      </c>
      <c r="O132" s="20">
        <v>555000</v>
      </c>
      <c r="P132" s="20">
        <f t="shared" si="1"/>
        <v>4944460</v>
      </c>
    </row>
    <row r="133" spans="1:16" s="18" customFormat="1">
      <c r="A133" s="18">
        <v>2020</v>
      </c>
      <c r="B133" s="18" t="s">
        <v>31</v>
      </c>
      <c r="C133" s="19" t="str">
        <f>_xlfn.XLOOKUP(B133, 'Revenue Codes'!$A$2:$A$99, 'Revenue Codes'!$B$2:$B$99, "")</f>
        <v>Motor Vehicles</v>
      </c>
      <c r="D133" s="20">
        <v>998600</v>
      </c>
      <c r="E133" s="20">
        <v>1108200</v>
      </c>
      <c r="F133" s="20">
        <v>1317830</v>
      </c>
      <c r="G133" s="20">
        <v>1327440</v>
      </c>
      <c r="H133" s="20">
        <v>279300</v>
      </c>
      <c r="I133" s="20">
        <v>259000</v>
      </c>
      <c r="J133" s="20">
        <v>301000</v>
      </c>
      <c r="K133" s="20">
        <v>675300</v>
      </c>
      <c r="L133" s="20">
        <v>860100</v>
      </c>
      <c r="M133" s="20">
        <v>1002200</v>
      </c>
      <c r="N133" s="20">
        <v>1107700</v>
      </c>
      <c r="O133" s="20">
        <v>1185100</v>
      </c>
      <c r="P133" s="20">
        <f t="shared" si="1"/>
        <v>10421770</v>
      </c>
    </row>
    <row r="134" spans="1:16" s="18" customFormat="1">
      <c r="A134" s="18">
        <v>2020</v>
      </c>
      <c r="B134" s="18" t="s">
        <v>32</v>
      </c>
      <c r="C134" s="19" t="str">
        <f>_xlfn.XLOOKUP(B134, 'Revenue Codes'!$A$2:$A$99, 'Revenue Codes'!$B$2:$B$99, "")</f>
        <v>Excise (Other)</v>
      </c>
      <c r="D134" s="20">
        <v>41160</v>
      </c>
      <c r="E134" s="20">
        <v>41510</v>
      </c>
      <c r="F134" s="20">
        <v>41860</v>
      </c>
      <c r="G134" s="20">
        <v>42200</v>
      </c>
      <c r="H134" s="20">
        <v>79800</v>
      </c>
      <c r="I134" s="20">
        <v>74000</v>
      </c>
      <c r="J134" s="20">
        <v>86000</v>
      </c>
      <c r="K134" s="20">
        <v>49500</v>
      </c>
      <c r="L134" s="20">
        <v>51600</v>
      </c>
      <c r="M134" s="20">
        <v>52800</v>
      </c>
      <c r="N134" s="20">
        <v>53500</v>
      </c>
      <c r="O134" s="20">
        <v>53900</v>
      </c>
      <c r="P134" s="20">
        <f t="shared" si="1"/>
        <v>667830</v>
      </c>
    </row>
    <row r="135" spans="1:16" s="18" customFormat="1">
      <c r="A135" s="18">
        <v>2020</v>
      </c>
      <c r="B135" s="18" t="s">
        <v>33</v>
      </c>
      <c r="C135" s="19" t="str">
        <f>_xlfn.XLOOKUP(B135, 'Revenue Codes'!$A$2:$A$99, 'Revenue Codes'!$B$2:$B$99, "")</f>
        <v>NBT</v>
      </c>
      <c r="D135" s="20"/>
      <c r="E135" s="20"/>
      <c r="F135" s="20"/>
      <c r="G135" s="20"/>
      <c r="H135" s="20"/>
      <c r="I135" s="20"/>
      <c r="J135" s="20"/>
      <c r="K135" s="20">
        <v>500</v>
      </c>
      <c r="L135" s="20">
        <v>500</v>
      </c>
      <c r="M135" s="20">
        <v>500</v>
      </c>
      <c r="N135" s="20">
        <v>500</v>
      </c>
      <c r="O135" s="20">
        <v>500</v>
      </c>
      <c r="P135" s="20">
        <f t="shared" si="1"/>
        <v>2500</v>
      </c>
    </row>
    <row r="136" spans="1:16" s="18" customFormat="1">
      <c r="A136" s="18">
        <v>2020</v>
      </c>
      <c r="B136" s="18" t="s">
        <v>35</v>
      </c>
      <c r="C136" s="19" t="str">
        <f>_xlfn.XLOOKUP(B136, 'Revenue Codes'!$A$2:$A$99, 'Revenue Codes'!$B$2:$B$99, "")</f>
        <v>VEL</v>
      </c>
      <c r="D136" s="20">
        <v>8700</v>
      </c>
      <c r="E136" s="20">
        <v>9400</v>
      </c>
      <c r="F136" s="20">
        <v>11300</v>
      </c>
      <c r="G136" s="20">
        <v>9900</v>
      </c>
      <c r="H136" s="20">
        <v>59900</v>
      </c>
      <c r="I136" s="20">
        <v>55500</v>
      </c>
      <c r="J136" s="20">
        <v>64500</v>
      </c>
      <c r="K136" s="20">
        <v>3800</v>
      </c>
      <c r="L136" s="20">
        <v>4400</v>
      </c>
      <c r="M136" s="20">
        <v>4800</v>
      </c>
      <c r="N136" s="20">
        <v>5200</v>
      </c>
      <c r="O136" s="20">
        <v>5300</v>
      </c>
      <c r="P136" s="20">
        <f t="shared" si="1"/>
        <v>242700</v>
      </c>
    </row>
    <row r="137" spans="1:16" s="18" customFormat="1">
      <c r="A137" s="18">
        <v>2020</v>
      </c>
      <c r="B137" s="18" t="s">
        <v>36</v>
      </c>
      <c r="C137" s="19" t="str">
        <f>_xlfn.XLOOKUP(B137, 'Revenue Codes'!$A$2:$A$99, 'Revenue Codes'!$B$2:$B$99, "")</f>
        <v>ESC</v>
      </c>
      <c r="D137" s="20">
        <v>11000</v>
      </c>
      <c r="E137" s="20">
        <v>10300</v>
      </c>
      <c r="F137" s="20">
        <v>14500</v>
      </c>
      <c r="G137" s="20">
        <v>12100</v>
      </c>
      <c r="H137" s="20"/>
      <c r="I137" s="20"/>
      <c r="J137" s="20"/>
      <c r="K137" s="20"/>
      <c r="L137" s="20"/>
      <c r="M137" s="20"/>
      <c r="N137" s="20"/>
      <c r="O137" s="20"/>
      <c r="P137" s="20">
        <f t="shared" si="1"/>
        <v>47900</v>
      </c>
    </row>
    <row r="138" spans="1:16" s="18" customFormat="1">
      <c r="A138" s="18">
        <v>2020</v>
      </c>
      <c r="B138" s="18" t="s">
        <v>37</v>
      </c>
      <c r="C138" s="19" t="str">
        <f>_xlfn.XLOOKUP(B138, 'Revenue Codes'!$A$2:$A$99, 'Revenue Codes'!$B$2:$B$99, "")</f>
        <v>Sales of Garment</v>
      </c>
      <c r="D138" s="20">
        <v>1500</v>
      </c>
      <c r="E138" s="20">
        <v>1600</v>
      </c>
      <c r="F138" s="20">
        <v>1800</v>
      </c>
      <c r="G138" s="20">
        <v>1200</v>
      </c>
      <c r="H138" s="20">
        <v>5400</v>
      </c>
      <c r="I138" s="20">
        <v>5200</v>
      </c>
      <c r="J138" s="20">
        <v>3000</v>
      </c>
      <c r="K138" s="20">
        <v>1600</v>
      </c>
      <c r="L138" s="20">
        <v>1600</v>
      </c>
      <c r="M138" s="20">
        <v>2200</v>
      </c>
      <c r="N138" s="20">
        <v>1700</v>
      </c>
      <c r="O138" s="20">
        <v>3300</v>
      </c>
      <c r="P138" s="20">
        <f t="shared" si="1"/>
        <v>30100</v>
      </c>
    </row>
    <row r="139" spans="1:16" s="18" customFormat="1">
      <c r="A139" s="18">
        <v>2020</v>
      </c>
      <c r="B139" s="18" t="s">
        <v>38</v>
      </c>
      <c r="C139" s="19" t="str">
        <f>_xlfn.XLOOKUP(B139, 'Revenue Codes'!$A$2:$A$99, 'Revenue Codes'!$B$2:$B$99, "")</f>
        <v>Fine &amp; Forfeits</v>
      </c>
      <c r="D139" s="20">
        <v>29560</v>
      </c>
      <c r="E139" s="20">
        <v>29890</v>
      </c>
      <c r="F139" s="20">
        <v>30220</v>
      </c>
      <c r="G139" s="20">
        <v>30550</v>
      </c>
      <c r="H139" s="20">
        <v>9500</v>
      </c>
      <c r="I139" s="20">
        <v>6500</v>
      </c>
      <c r="J139" s="20">
        <v>4600</v>
      </c>
      <c r="K139" s="20">
        <v>6500</v>
      </c>
      <c r="L139" s="20">
        <v>15400</v>
      </c>
      <c r="M139" s="20">
        <v>18600</v>
      </c>
      <c r="N139" s="20">
        <v>19300</v>
      </c>
      <c r="O139" s="20">
        <v>13300</v>
      </c>
      <c r="P139" s="20">
        <f t="shared" si="1"/>
        <v>213920</v>
      </c>
    </row>
    <row r="140" spans="1:16" s="18" customFormat="1">
      <c r="A140" s="18">
        <v>2020</v>
      </c>
      <c r="B140" s="18" t="s">
        <v>39</v>
      </c>
      <c r="C140" s="19" t="str">
        <f>_xlfn.XLOOKUP(B140, 'Revenue Codes'!$A$2:$A$99, 'Revenue Codes'!$B$2:$B$99, "")</f>
        <v>Sundris &amp; Others</v>
      </c>
      <c r="D140" s="20">
        <v>2200</v>
      </c>
      <c r="E140" s="20">
        <v>2300</v>
      </c>
      <c r="F140" s="20">
        <v>2500</v>
      </c>
      <c r="G140" s="20">
        <v>2500</v>
      </c>
      <c r="H140" s="20">
        <v>900</v>
      </c>
      <c r="I140" s="20">
        <v>800</v>
      </c>
      <c r="J140" s="20">
        <v>800</v>
      </c>
      <c r="K140" s="20">
        <v>3000</v>
      </c>
      <c r="L140" s="20">
        <v>2700</v>
      </c>
      <c r="M140" s="20">
        <v>4000</v>
      </c>
      <c r="N140" s="20">
        <v>2600</v>
      </c>
      <c r="O140" s="20">
        <v>3800</v>
      </c>
      <c r="P140" s="20">
        <f t="shared" si="1"/>
        <v>28100</v>
      </c>
    </row>
    <row r="141" spans="1:16" s="18" customFormat="1">
      <c r="A141" s="18">
        <v>2020</v>
      </c>
      <c r="B141" s="18" t="s">
        <v>40</v>
      </c>
      <c r="C141" s="19" t="str">
        <f>_xlfn.XLOOKUP(B141, 'Revenue Codes'!$A$2:$A$99, 'Revenue Codes'!$B$2:$B$99, "")</f>
        <v>Other Receipts</v>
      </c>
      <c r="D141" s="20">
        <v>1600</v>
      </c>
      <c r="E141" s="20">
        <v>1700</v>
      </c>
      <c r="F141" s="20">
        <v>1400</v>
      </c>
      <c r="G141" s="20">
        <v>1500</v>
      </c>
      <c r="H141" s="20">
        <v>600</v>
      </c>
      <c r="I141" s="20">
        <v>500</v>
      </c>
      <c r="J141" s="20">
        <v>500</v>
      </c>
      <c r="K141" s="20">
        <v>2200</v>
      </c>
      <c r="L141" s="20">
        <v>1800</v>
      </c>
      <c r="M141" s="20">
        <v>1900</v>
      </c>
      <c r="N141" s="20">
        <v>2000</v>
      </c>
      <c r="O141" s="20">
        <v>2700</v>
      </c>
      <c r="P141" s="20">
        <f t="shared" si="1"/>
        <v>18400</v>
      </c>
    </row>
    <row r="142" spans="1:16">
      <c r="C142" s="3">
        <f>_xlfn.XLOOKUP(B142, 'Revenue Codes'!$A$2:$A$99, 'Revenue Codes'!$B$2:$B$99, "")</f>
        <v>0</v>
      </c>
    </row>
    <row r="143" spans="1:16">
      <c r="C143" s="3">
        <f>_xlfn.XLOOKUP(B143, 'Revenue Codes'!$A$2:$A$99, 'Revenue Codes'!$B$2:$B$99, "")</f>
        <v>0</v>
      </c>
    </row>
    <row r="144" spans="1:16">
      <c r="C144" s="3">
        <f>_xlfn.XLOOKUP(B144, 'Revenue Codes'!$A$2:$A$99, 'Revenue Codes'!$B$2:$B$99, "")</f>
        <v>0</v>
      </c>
    </row>
    <row r="145" spans="3:3">
      <c r="C145" s="3">
        <f>_xlfn.XLOOKUP(B145, 'Revenue Codes'!$A$2:$A$99, 'Revenue Codes'!$B$2:$B$99, "")</f>
        <v>0</v>
      </c>
    </row>
    <row r="146" spans="3:3">
      <c r="C146" s="3">
        <f>_xlfn.XLOOKUP(B146, 'Revenue Codes'!$A$2:$A$99, 'Revenue Codes'!$B$2:$B$99, "")</f>
        <v>0</v>
      </c>
    </row>
    <row r="147" spans="3:3">
      <c r="C147" s="3">
        <f>_xlfn.XLOOKUP(B147, 'Revenue Codes'!$A$2:$A$99, 'Revenue Codes'!$B$2:$B$99, "")</f>
        <v>0</v>
      </c>
    </row>
    <row r="148" spans="3:3">
      <c r="C148" s="3">
        <f>_xlfn.XLOOKUP(B148, 'Revenue Codes'!$A$2:$A$99, 'Revenue Codes'!$B$2:$B$99, "")</f>
        <v>0</v>
      </c>
    </row>
    <row r="149" spans="3:3">
      <c r="C149" s="3">
        <f>_xlfn.XLOOKUP(B149, 'Revenue Codes'!$A$2:$A$99, 'Revenue Codes'!$B$2:$B$99, "")</f>
        <v>0</v>
      </c>
    </row>
    <row r="150" spans="3:3">
      <c r="C150" s="3">
        <f>_xlfn.XLOOKUP(B150, 'Revenue Codes'!$A$2:$A$99, 'Revenue Codes'!$B$2:$B$99, "")</f>
        <v>0</v>
      </c>
    </row>
    <row r="151" spans="3:3">
      <c r="C151" s="3">
        <f>_xlfn.XLOOKUP(B151, 'Revenue Codes'!$A$2:$A$99, 'Revenue Codes'!$B$2:$B$99, "")</f>
        <v>0</v>
      </c>
    </row>
    <row r="152" spans="3:3">
      <c r="C152" s="3">
        <f>_xlfn.XLOOKUP(B152, 'Revenue Codes'!$A$2:$A$99, 'Revenue Codes'!$B$2:$B$99, "")</f>
        <v>0</v>
      </c>
    </row>
    <row r="153" spans="3:3">
      <c r="C153" s="3">
        <f>_xlfn.XLOOKUP(B153, 'Revenue Codes'!$A$2:$A$99, 'Revenue Codes'!$B$2:$B$99, "")</f>
        <v>0</v>
      </c>
    </row>
    <row r="154" spans="3:3">
      <c r="C154" s="3">
        <f>_xlfn.XLOOKUP(B154, 'Revenue Codes'!$A$2:$A$99, 'Revenue Codes'!$B$2:$B$99, "")</f>
        <v>0</v>
      </c>
    </row>
    <row r="155" spans="3:3">
      <c r="C155" s="3">
        <f>_xlfn.XLOOKUP(B155, 'Revenue Codes'!$A$2:$A$99, 'Revenue Codes'!$B$2:$B$99, "")</f>
        <v>0</v>
      </c>
    </row>
    <row r="156" spans="3:3">
      <c r="C156" s="3">
        <f>_xlfn.XLOOKUP(B156, 'Revenue Codes'!$A$2:$A$99, 'Revenue Codes'!$B$2:$B$99, "")</f>
        <v>0</v>
      </c>
    </row>
    <row r="157" spans="3:3">
      <c r="C157" s="3">
        <f>_xlfn.XLOOKUP(B157, 'Revenue Codes'!$A$2:$A$99, 'Revenue Codes'!$B$2:$B$99, "")</f>
        <v>0</v>
      </c>
    </row>
    <row r="158" spans="3:3">
      <c r="C158" s="3">
        <f>_xlfn.XLOOKUP(B158, 'Revenue Codes'!$A$2:$A$99, 'Revenue Codes'!$B$2:$B$99, "")</f>
        <v>0</v>
      </c>
    </row>
    <row r="159" spans="3:3">
      <c r="C159" s="3">
        <f>_xlfn.XLOOKUP(B159, 'Revenue Codes'!$A$2:$A$99, 'Revenue Codes'!$B$2:$B$99, "")</f>
        <v>0</v>
      </c>
    </row>
    <row r="160" spans="3:3">
      <c r="C160" s="3">
        <f>_xlfn.XLOOKUP(B160, 'Revenue Codes'!$A$2:$A$99, 'Revenue Codes'!$B$2:$B$99, "")</f>
        <v>0</v>
      </c>
    </row>
    <row r="161" spans="3:3">
      <c r="C161" s="3">
        <f>_xlfn.XLOOKUP(B161, 'Revenue Codes'!$A$2:$A$99, 'Revenue Codes'!$B$2:$B$99, "")</f>
        <v>0</v>
      </c>
    </row>
    <row r="162" spans="3:3">
      <c r="C162" s="3">
        <f>_xlfn.XLOOKUP(B162, 'Revenue Codes'!$A$2:$A$99, 'Revenue Codes'!$B$2:$B$99, "")</f>
        <v>0</v>
      </c>
    </row>
    <row r="163" spans="3:3">
      <c r="C163" s="3">
        <f>_xlfn.XLOOKUP(B163, 'Revenue Codes'!$A$2:$A$99, 'Revenue Codes'!$B$2:$B$99, "")</f>
        <v>0</v>
      </c>
    </row>
    <row r="164" spans="3:3">
      <c r="C164" s="3">
        <f>_xlfn.XLOOKUP(B164, 'Revenue Codes'!$A$2:$A$99, 'Revenue Codes'!$B$2:$B$99, "")</f>
        <v>0</v>
      </c>
    </row>
    <row r="165" spans="3:3">
      <c r="C165" s="3">
        <f>_xlfn.XLOOKUP(B165, 'Revenue Codes'!$A$2:$A$99, 'Revenue Codes'!$B$2:$B$99, "")</f>
        <v>0</v>
      </c>
    </row>
    <row r="166" spans="3:3">
      <c r="C166" s="3">
        <f>_xlfn.XLOOKUP(B166, 'Revenue Codes'!$A$2:$A$99, 'Revenue Codes'!$B$2:$B$99, "")</f>
        <v>0</v>
      </c>
    </row>
    <row r="167" spans="3:3">
      <c r="C167" s="3">
        <f>_xlfn.XLOOKUP(B167, 'Revenue Codes'!$A$2:$A$99, 'Revenue Codes'!$B$2:$B$99, "")</f>
        <v>0</v>
      </c>
    </row>
    <row r="168" spans="3:3">
      <c r="C168" s="3">
        <f>_xlfn.XLOOKUP(B168, 'Revenue Codes'!$A$2:$A$99, 'Revenue Codes'!$B$2:$B$99, "")</f>
        <v>0</v>
      </c>
    </row>
    <row r="169" spans="3:3">
      <c r="C169" s="3">
        <f>_xlfn.XLOOKUP(B169, 'Revenue Codes'!$A$2:$A$99, 'Revenue Codes'!$B$2:$B$99, "")</f>
        <v>0</v>
      </c>
    </row>
    <row r="170" spans="3:3">
      <c r="C170" s="3">
        <f>_xlfn.XLOOKUP(B170, 'Revenue Codes'!$A$2:$A$99, 'Revenue Codes'!$B$2:$B$99, "")</f>
        <v>0</v>
      </c>
    </row>
    <row r="171" spans="3:3">
      <c r="C171" s="3">
        <f>_xlfn.XLOOKUP(B171, 'Revenue Codes'!$A$2:$A$99, 'Revenue Codes'!$B$2:$B$99, "")</f>
        <v>0</v>
      </c>
    </row>
    <row r="172" spans="3:3">
      <c r="C172" s="3">
        <f>_xlfn.XLOOKUP(B172, 'Revenue Codes'!$A$2:$A$99, 'Revenue Codes'!$B$2:$B$99, "")</f>
        <v>0</v>
      </c>
    </row>
    <row r="173" spans="3:3">
      <c r="C173" s="3">
        <f>_xlfn.XLOOKUP(B173, 'Revenue Codes'!$A$2:$A$99, 'Revenue Codes'!$B$2:$B$99, "")</f>
        <v>0</v>
      </c>
    </row>
    <row r="174" spans="3:3">
      <c r="C174" s="3">
        <f>_xlfn.XLOOKUP(B174, 'Revenue Codes'!$A$2:$A$99, 'Revenue Codes'!$B$2:$B$99, "")</f>
        <v>0</v>
      </c>
    </row>
    <row r="175" spans="3:3">
      <c r="C175" s="3">
        <f>_xlfn.XLOOKUP(B175, 'Revenue Codes'!$A$2:$A$99, 'Revenue Codes'!$B$2:$B$99, "")</f>
        <v>0</v>
      </c>
    </row>
    <row r="176" spans="3:3">
      <c r="C176" s="3">
        <f>_xlfn.XLOOKUP(B176, 'Revenue Codes'!$A$2:$A$99, 'Revenue Codes'!$B$2:$B$99, "")</f>
        <v>0</v>
      </c>
    </row>
    <row r="177" spans="3:3">
      <c r="C177" s="3">
        <f>_xlfn.XLOOKUP(B177, 'Revenue Codes'!$A$2:$A$99, 'Revenue Codes'!$B$2:$B$99, "")</f>
        <v>0</v>
      </c>
    </row>
    <row r="178" spans="3:3">
      <c r="C178" s="3">
        <f>_xlfn.XLOOKUP(B178, 'Revenue Codes'!$A$2:$A$99, 'Revenue Codes'!$B$2:$B$99, "")</f>
        <v>0</v>
      </c>
    </row>
    <row r="179" spans="3:3">
      <c r="C179" s="3">
        <f>_xlfn.XLOOKUP(B179, 'Revenue Codes'!$A$2:$A$99, 'Revenue Codes'!$B$2:$B$99, "")</f>
        <v>0</v>
      </c>
    </row>
    <row r="180" spans="3:3">
      <c r="C180" s="3">
        <f>_xlfn.XLOOKUP(B180, 'Revenue Codes'!$A$2:$A$99, 'Revenue Codes'!$B$2:$B$99, "")</f>
        <v>0</v>
      </c>
    </row>
    <row r="181" spans="3:3">
      <c r="C181" s="3">
        <f>_xlfn.XLOOKUP(B181, 'Revenue Codes'!$A$2:$A$99, 'Revenue Codes'!$B$2:$B$99, "")</f>
        <v>0</v>
      </c>
    </row>
    <row r="182" spans="3:3">
      <c r="C182" s="3">
        <f>_xlfn.XLOOKUP(B182, 'Revenue Codes'!$A$2:$A$99, 'Revenue Codes'!$B$2:$B$99, "")</f>
        <v>0</v>
      </c>
    </row>
    <row r="183" spans="3:3">
      <c r="C183" s="3">
        <f>_xlfn.XLOOKUP(B183, 'Revenue Codes'!$A$2:$A$99, 'Revenue Codes'!$B$2:$B$99, "")</f>
        <v>0</v>
      </c>
    </row>
    <row r="184" spans="3:3">
      <c r="C184" s="3">
        <f>_xlfn.XLOOKUP(B184, 'Revenue Codes'!$A$2:$A$99, 'Revenue Codes'!$B$2:$B$99, "")</f>
        <v>0</v>
      </c>
    </row>
    <row r="185" spans="3:3">
      <c r="C185" s="3">
        <f>_xlfn.XLOOKUP(B185, 'Revenue Codes'!$A$2:$A$99, 'Revenue Codes'!$B$2:$B$99, "")</f>
        <v>0</v>
      </c>
    </row>
    <row r="186" spans="3:3">
      <c r="C186" s="3">
        <f>_xlfn.XLOOKUP(B186, 'Revenue Codes'!$A$2:$A$99, 'Revenue Codes'!$B$2:$B$99, "")</f>
        <v>0</v>
      </c>
    </row>
    <row r="187" spans="3:3">
      <c r="C187" s="3">
        <f>_xlfn.XLOOKUP(B187, 'Revenue Codes'!$A$2:$A$99, 'Revenue Codes'!$B$2:$B$99, "")</f>
        <v>0</v>
      </c>
    </row>
    <row r="188" spans="3:3">
      <c r="C188" s="3">
        <f>_xlfn.XLOOKUP(B188, 'Revenue Codes'!$A$2:$A$99, 'Revenue Codes'!$B$2:$B$99, "")</f>
        <v>0</v>
      </c>
    </row>
    <row r="189" spans="3:3">
      <c r="C189" s="3">
        <f>_xlfn.XLOOKUP(B189, 'Revenue Codes'!$A$2:$A$99, 'Revenue Codes'!$B$2:$B$99, "")</f>
        <v>0</v>
      </c>
    </row>
    <row r="190" spans="3:3">
      <c r="C190" s="3">
        <f>_xlfn.XLOOKUP(B190, 'Revenue Codes'!$A$2:$A$99, 'Revenue Codes'!$B$2:$B$99, "")</f>
        <v>0</v>
      </c>
    </row>
    <row r="191" spans="3:3">
      <c r="C191" s="3">
        <f>_xlfn.XLOOKUP(B191, 'Revenue Codes'!$A$2:$A$99, 'Revenue Codes'!$B$2:$B$99, "")</f>
        <v>0</v>
      </c>
    </row>
    <row r="192" spans="3:3">
      <c r="C192" s="3">
        <f>_xlfn.XLOOKUP(B192, 'Revenue Codes'!$A$2:$A$99, 'Revenue Codes'!$B$2:$B$99, "")</f>
        <v>0</v>
      </c>
    </row>
    <row r="193" spans="3:3">
      <c r="C193" s="3">
        <f>_xlfn.XLOOKUP(B193, 'Revenue Codes'!$A$2:$A$99, 'Revenue Codes'!$B$2:$B$99, "")</f>
        <v>0</v>
      </c>
    </row>
    <row r="194" spans="3:3">
      <c r="C194" s="3">
        <f>_xlfn.XLOOKUP(B194, 'Revenue Codes'!$A$2:$A$99, 'Revenue Codes'!$B$2:$B$99, "")</f>
        <v>0</v>
      </c>
    </row>
    <row r="195" spans="3:3">
      <c r="C195" s="3">
        <f>_xlfn.XLOOKUP(B195, 'Revenue Codes'!$A$2:$A$99, 'Revenue Codes'!$B$2:$B$99, "")</f>
        <v>0</v>
      </c>
    </row>
    <row r="196" spans="3:3">
      <c r="C196" s="3">
        <f>_xlfn.XLOOKUP(B196, 'Revenue Codes'!$A$2:$A$99, 'Revenue Codes'!$B$2:$B$99, "")</f>
        <v>0</v>
      </c>
    </row>
    <row r="197" spans="3:3">
      <c r="C197" s="3">
        <f>_xlfn.XLOOKUP(B197, 'Revenue Codes'!$A$2:$A$99, 'Revenue Codes'!$B$2:$B$99, "")</f>
        <v>0</v>
      </c>
    </row>
    <row r="198" spans="3:3">
      <c r="C198" s="3">
        <f>_xlfn.XLOOKUP(B198, 'Revenue Codes'!$A$2:$A$99, 'Revenue Codes'!$B$2:$B$99, "")</f>
        <v>0</v>
      </c>
    </row>
    <row r="199" spans="3:3">
      <c r="C199" s="3">
        <f>_xlfn.XLOOKUP(B199, 'Revenue Codes'!$A$2:$A$99, 'Revenue Codes'!$B$2:$B$99, "")</f>
        <v>0</v>
      </c>
    </row>
    <row r="200" spans="3:3">
      <c r="C200" s="3">
        <f>_xlfn.XLOOKUP(B200, 'Revenue Codes'!$A$2:$A$99, 'Revenue Codes'!$B$2:$B$99, "")</f>
        <v>0</v>
      </c>
    </row>
    <row r="201" spans="3:3">
      <c r="C201" s="3">
        <f>_xlfn.XLOOKUP(B201, 'Revenue Codes'!$A$2:$A$99, 'Revenue Codes'!$B$2:$B$99, "")</f>
        <v>0</v>
      </c>
    </row>
    <row r="202" spans="3:3">
      <c r="C202" s="3">
        <f>_xlfn.XLOOKUP(B202, 'Revenue Codes'!$A$2:$A$99, 'Revenue Codes'!$B$2:$B$99, "")</f>
        <v>0</v>
      </c>
    </row>
    <row r="203" spans="3:3">
      <c r="C203" s="3">
        <f>_xlfn.XLOOKUP(B203, 'Revenue Codes'!$A$2:$A$99, 'Revenue Codes'!$B$2:$B$99, "")</f>
        <v>0</v>
      </c>
    </row>
    <row r="204" spans="3:3">
      <c r="C204" s="3">
        <f>_xlfn.XLOOKUP(B204, 'Revenue Codes'!$A$2:$A$99, 'Revenue Codes'!$B$2:$B$99, "")</f>
        <v>0</v>
      </c>
    </row>
    <row r="205" spans="3:3">
      <c r="C205" s="3">
        <f>_xlfn.XLOOKUP(B205, 'Revenue Codes'!$A$2:$A$99, 'Revenue Codes'!$B$2:$B$99, "")</f>
        <v>0</v>
      </c>
    </row>
    <row r="206" spans="3:3">
      <c r="C206" s="3">
        <f>_xlfn.XLOOKUP(B206, 'Revenue Codes'!$A$2:$A$99, 'Revenue Codes'!$B$2:$B$99, "")</f>
        <v>0</v>
      </c>
    </row>
    <row r="207" spans="3:3">
      <c r="C207" s="3">
        <f>_xlfn.XLOOKUP(B207, 'Revenue Codes'!$A$2:$A$99, 'Revenue Codes'!$B$2:$B$99, "")</f>
        <v>0</v>
      </c>
    </row>
    <row r="208" spans="3:3">
      <c r="C208" s="3">
        <f>_xlfn.XLOOKUP(B208, 'Revenue Codes'!$A$2:$A$99, 'Revenue Codes'!$B$2:$B$99, "")</f>
        <v>0</v>
      </c>
    </row>
    <row r="209" spans="3:3">
      <c r="C209" s="3">
        <f>_xlfn.XLOOKUP(B209, 'Revenue Codes'!$A$2:$A$99, 'Revenue Codes'!$B$2:$B$99, "")</f>
        <v>0</v>
      </c>
    </row>
    <row r="210" spans="3:3">
      <c r="C210" s="3">
        <f>_xlfn.XLOOKUP(B210, 'Revenue Codes'!$A$2:$A$99, 'Revenue Codes'!$B$2:$B$99, "")</f>
        <v>0</v>
      </c>
    </row>
    <row r="211" spans="3:3">
      <c r="C211" s="3">
        <f>_xlfn.XLOOKUP(B211, 'Revenue Codes'!$A$2:$A$99, 'Revenue Codes'!$B$2:$B$99, "")</f>
        <v>0</v>
      </c>
    </row>
    <row r="212" spans="3:3">
      <c r="C212" s="3">
        <f>_xlfn.XLOOKUP(B212, 'Revenue Codes'!$A$2:$A$99, 'Revenue Codes'!$B$2:$B$99, "")</f>
        <v>0</v>
      </c>
    </row>
    <row r="213" spans="3:3">
      <c r="C213" s="3">
        <f>_xlfn.XLOOKUP(B213, 'Revenue Codes'!$A$2:$A$99, 'Revenue Codes'!$B$2:$B$99, "")</f>
        <v>0</v>
      </c>
    </row>
    <row r="214" spans="3:3">
      <c r="C214" s="3">
        <f>_xlfn.XLOOKUP(B214, 'Revenue Codes'!$A$2:$A$99, 'Revenue Codes'!$B$2:$B$99, "")</f>
        <v>0</v>
      </c>
    </row>
    <row r="215" spans="3:3">
      <c r="C215" s="3">
        <f>_xlfn.XLOOKUP(B215, 'Revenue Codes'!$A$2:$A$99, 'Revenue Codes'!$B$2:$B$99, "")</f>
        <v>0</v>
      </c>
    </row>
    <row r="216" spans="3:3">
      <c r="C216" s="3">
        <f>_xlfn.XLOOKUP(B216, 'Revenue Codes'!$A$2:$A$99, 'Revenue Codes'!$B$2:$B$99, "")</f>
        <v>0</v>
      </c>
    </row>
    <row r="217" spans="3:3">
      <c r="C217" s="3">
        <f>_xlfn.XLOOKUP(B217, 'Revenue Codes'!$A$2:$A$99, 'Revenue Codes'!$B$2:$B$99, "")</f>
        <v>0</v>
      </c>
    </row>
    <row r="218" spans="3:3">
      <c r="C218" s="3">
        <f>_xlfn.XLOOKUP(B218, 'Revenue Codes'!$A$2:$A$99, 'Revenue Codes'!$B$2:$B$99, "")</f>
        <v>0</v>
      </c>
    </row>
    <row r="219" spans="3:3">
      <c r="C219" s="3">
        <f>_xlfn.XLOOKUP(B219, 'Revenue Codes'!$A$2:$A$99, 'Revenue Codes'!$B$2:$B$99, "")</f>
        <v>0</v>
      </c>
    </row>
    <row r="220" spans="3:3">
      <c r="C220" s="3">
        <f>_xlfn.XLOOKUP(B220, 'Revenue Codes'!$A$2:$A$99, 'Revenue Codes'!$B$2:$B$99, "")</f>
        <v>0</v>
      </c>
    </row>
    <row r="221" spans="3:3">
      <c r="C221" s="3">
        <f>_xlfn.XLOOKUP(B221, 'Revenue Codes'!$A$2:$A$99, 'Revenue Codes'!$B$2:$B$99, "")</f>
        <v>0</v>
      </c>
    </row>
    <row r="222" spans="3:3">
      <c r="C222" s="3">
        <f>_xlfn.XLOOKUP(B222, 'Revenue Codes'!$A$2:$A$99, 'Revenue Codes'!$B$2:$B$99, "")</f>
        <v>0</v>
      </c>
    </row>
    <row r="223" spans="3:3">
      <c r="C223" s="3">
        <f>_xlfn.XLOOKUP(B223, 'Revenue Codes'!$A$2:$A$99, 'Revenue Codes'!$B$2:$B$99, "")</f>
        <v>0</v>
      </c>
    </row>
    <row r="224" spans="3:3">
      <c r="C224" s="3">
        <f>_xlfn.XLOOKUP(B224, 'Revenue Codes'!$A$2:$A$99, 'Revenue Codes'!$B$2:$B$99, "")</f>
        <v>0</v>
      </c>
    </row>
    <row r="225" spans="3:3">
      <c r="C225" s="3">
        <f>_xlfn.XLOOKUP(B225, 'Revenue Codes'!$A$2:$A$99, 'Revenue Codes'!$B$2:$B$99, "")</f>
        <v>0</v>
      </c>
    </row>
    <row r="226" spans="3:3">
      <c r="C226" s="3">
        <f>_xlfn.XLOOKUP(B226, 'Revenue Codes'!$A$2:$A$99, 'Revenue Codes'!$B$2:$B$99, "")</f>
        <v>0</v>
      </c>
    </row>
    <row r="227" spans="3:3">
      <c r="C227" s="3">
        <f>_xlfn.XLOOKUP(B227, 'Revenue Codes'!$A$2:$A$99, 'Revenue Codes'!$B$2:$B$99, "")</f>
        <v>0</v>
      </c>
    </row>
    <row r="228" spans="3:3">
      <c r="C228" s="3">
        <f>_xlfn.XLOOKUP(B228, 'Revenue Codes'!$A$2:$A$99, 'Revenue Codes'!$B$2:$B$99, "")</f>
        <v>0</v>
      </c>
    </row>
    <row r="229" spans="3:3">
      <c r="C229" s="3">
        <f>_xlfn.XLOOKUP(B229, 'Revenue Codes'!$A$2:$A$99, 'Revenue Codes'!$B$2:$B$99, "")</f>
        <v>0</v>
      </c>
    </row>
    <row r="230" spans="3:3">
      <c r="C230" s="3">
        <f>_xlfn.XLOOKUP(B230, 'Revenue Codes'!$A$2:$A$99, 'Revenue Codes'!$B$2:$B$99, "")</f>
        <v>0</v>
      </c>
    </row>
    <row r="231" spans="3:3">
      <c r="C231" s="3">
        <f>_xlfn.XLOOKUP(B231, 'Revenue Codes'!$A$2:$A$99, 'Revenue Codes'!$B$2:$B$99, "")</f>
        <v>0</v>
      </c>
    </row>
    <row r="232" spans="3:3">
      <c r="C232" s="3">
        <f>_xlfn.XLOOKUP(B232, 'Revenue Codes'!$A$2:$A$99, 'Revenue Codes'!$B$2:$B$99, "")</f>
        <v>0</v>
      </c>
    </row>
    <row r="233" spans="3:3">
      <c r="C233" s="3">
        <f>_xlfn.XLOOKUP(B233, 'Revenue Codes'!$A$2:$A$99, 'Revenue Codes'!$B$2:$B$99, "")</f>
        <v>0</v>
      </c>
    </row>
    <row r="234" spans="3:3">
      <c r="C234" s="3">
        <f>_xlfn.XLOOKUP(B234, 'Revenue Codes'!$A$2:$A$99, 'Revenue Codes'!$B$2:$B$99, "")</f>
        <v>0</v>
      </c>
    </row>
    <row r="235" spans="3:3">
      <c r="C235" s="3">
        <f>_xlfn.XLOOKUP(B235, 'Revenue Codes'!$A$2:$A$99, 'Revenue Codes'!$B$2:$B$99, "")</f>
        <v>0</v>
      </c>
    </row>
    <row r="236" spans="3:3">
      <c r="C236" s="3">
        <f>_xlfn.XLOOKUP(B236, 'Revenue Codes'!$A$2:$A$99, 'Revenue Codes'!$B$2:$B$99, "")</f>
        <v>0</v>
      </c>
    </row>
    <row r="237" spans="3:3">
      <c r="C237" s="3">
        <f>_xlfn.XLOOKUP(B237, 'Revenue Codes'!$A$2:$A$99, 'Revenue Codes'!$B$2:$B$99, "")</f>
        <v>0</v>
      </c>
    </row>
    <row r="238" spans="3:3">
      <c r="C238" s="3">
        <f>_xlfn.XLOOKUP(B238, 'Revenue Codes'!$A$2:$A$99, 'Revenue Codes'!$B$2:$B$99, "")</f>
        <v>0</v>
      </c>
    </row>
    <row r="239" spans="3:3">
      <c r="C239" s="3">
        <f>_xlfn.XLOOKUP(B239, 'Revenue Codes'!$A$2:$A$99, 'Revenue Codes'!$B$2:$B$99, "")</f>
        <v>0</v>
      </c>
    </row>
    <row r="240" spans="3:3">
      <c r="C240" s="3">
        <f>_xlfn.XLOOKUP(B240, 'Revenue Codes'!$A$2:$A$99, 'Revenue Codes'!$B$2:$B$99, "")</f>
        <v>0</v>
      </c>
    </row>
    <row r="241" spans="3:3">
      <c r="C241" s="3">
        <f>_xlfn.XLOOKUP(B241, 'Revenue Codes'!$A$2:$A$99, 'Revenue Codes'!$B$2:$B$99, "")</f>
        <v>0</v>
      </c>
    </row>
    <row r="242" spans="3:3">
      <c r="C242" s="3">
        <f>_xlfn.XLOOKUP(B242, 'Revenue Codes'!$A$2:$A$99, 'Revenue Codes'!$B$2:$B$99, "")</f>
        <v>0</v>
      </c>
    </row>
    <row r="243" spans="3:3">
      <c r="C243" s="3">
        <f>_xlfn.XLOOKUP(B243, 'Revenue Codes'!$A$2:$A$99, 'Revenue Codes'!$B$2:$B$99, "")</f>
        <v>0</v>
      </c>
    </row>
    <row r="244" spans="3:3">
      <c r="C244" s="3">
        <f>_xlfn.XLOOKUP(B244, 'Revenue Codes'!$A$2:$A$99, 'Revenue Codes'!$B$2:$B$99, "")</f>
        <v>0</v>
      </c>
    </row>
    <row r="245" spans="3:3">
      <c r="C245" s="3">
        <f>_xlfn.XLOOKUP(B245, 'Revenue Codes'!$A$2:$A$99, 'Revenue Codes'!$B$2:$B$99, "")</f>
        <v>0</v>
      </c>
    </row>
    <row r="246" spans="3:3">
      <c r="C246" s="3">
        <f>_xlfn.XLOOKUP(B246, 'Revenue Codes'!$A$2:$A$99, 'Revenue Codes'!$B$2:$B$99, "")</f>
        <v>0</v>
      </c>
    </row>
    <row r="247" spans="3:3">
      <c r="C247" s="3">
        <f>_xlfn.XLOOKUP(B247, 'Revenue Codes'!$A$2:$A$99, 'Revenue Codes'!$B$2:$B$99, "")</f>
        <v>0</v>
      </c>
    </row>
    <row r="248" spans="3:3">
      <c r="C248" s="3">
        <f>_xlfn.XLOOKUP(B248, 'Revenue Codes'!$A$2:$A$99, 'Revenue Codes'!$B$2:$B$99, "")</f>
        <v>0</v>
      </c>
    </row>
    <row r="249" spans="3:3">
      <c r="C249" s="3">
        <f>_xlfn.XLOOKUP(B249, 'Revenue Codes'!$A$2:$A$99, 'Revenue Codes'!$B$2:$B$99, "")</f>
        <v>0</v>
      </c>
    </row>
    <row r="250" spans="3:3">
      <c r="C250" s="3">
        <f>_xlfn.XLOOKUP(B250, 'Revenue Codes'!$A$2:$A$99, 'Revenue Codes'!$B$2:$B$99, "")</f>
        <v>0</v>
      </c>
    </row>
    <row r="251" spans="3:3">
      <c r="C251" s="3">
        <f>_xlfn.XLOOKUP(B251, 'Revenue Codes'!$A$2:$A$99, 'Revenue Codes'!$B$2:$B$99, "")</f>
        <v>0</v>
      </c>
    </row>
    <row r="252" spans="3:3">
      <c r="C252" s="3">
        <f>_xlfn.XLOOKUP(B252, 'Revenue Codes'!$A$2:$A$99, 'Revenue Codes'!$B$2:$B$99, "")</f>
        <v>0</v>
      </c>
    </row>
    <row r="253" spans="3:3">
      <c r="C253" s="3">
        <f>_xlfn.XLOOKUP(B253, 'Revenue Codes'!$A$2:$A$99, 'Revenue Codes'!$B$2:$B$99, "")</f>
        <v>0</v>
      </c>
    </row>
    <row r="254" spans="3:3">
      <c r="C254" s="3">
        <f>_xlfn.XLOOKUP(B254, 'Revenue Codes'!$A$2:$A$99, 'Revenue Codes'!$B$2:$B$99, "")</f>
        <v>0</v>
      </c>
    </row>
    <row r="255" spans="3:3">
      <c r="C255" s="3">
        <f>_xlfn.XLOOKUP(B255, 'Revenue Codes'!$A$2:$A$99, 'Revenue Codes'!$B$2:$B$99, "")</f>
        <v>0</v>
      </c>
    </row>
    <row r="256" spans="3:3">
      <c r="C256" s="3">
        <f>_xlfn.XLOOKUP(B256, 'Revenue Codes'!$A$2:$A$99, 'Revenue Codes'!$B$2:$B$99, "")</f>
        <v>0</v>
      </c>
    </row>
    <row r="257" spans="3:3">
      <c r="C257" s="3">
        <f>_xlfn.XLOOKUP(B257, 'Revenue Codes'!$A$2:$A$99, 'Revenue Codes'!$B$2:$B$99, "")</f>
        <v>0</v>
      </c>
    </row>
    <row r="258" spans="3:3">
      <c r="C258" s="3">
        <f>_xlfn.XLOOKUP(B258, 'Revenue Codes'!$A$2:$A$99, 'Revenue Codes'!$B$2:$B$99, "")</f>
        <v>0</v>
      </c>
    </row>
    <row r="259" spans="3:3">
      <c r="C259" s="3">
        <f>_xlfn.XLOOKUP(B259, 'Revenue Codes'!$A$2:$A$99, 'Revenue Codes'!$B$2:$B$99, "")</f>
        <v>0</v>
      </c>
    </row>
    <row r="260" spans="3:3">
      <c r="C260" s="3">
        <f>_xlfn.XLOOKUP(B260, 'Revenue Codes'!$A$2:$A$99, 'Revenue Codes'!$B$2:$B$99, "")</f>
        <v>0</v>
      </c>
    </row>
    <row r="261" spans="3:3">
      <c r="C261" s="3">
        <f>_xlfn.XLOOKUP(B261, 'Revenue Codes'!$A$2:$A$99, 'Revenue Codes'!$B$2:$B$99, "")</f>
        <v>0</v>
      </c>
    </row>
    <row r="262" spans="3:3">
      <c r="C262" s="3">
        <f>_xlfn.XLOOKUP(B262, 'Revenue Codes'!$A$2:$A$99, 'Revenue Codes'!$B$2:$B$99, "")</f>
        <v>0</v>
      </c>
    </row>
    <row r="263" spans="3:3">
      <c r="C263" s="3">
        <f>_xlfn.XLOOKUP(B263, 'Revenue Codes'!$A$2:$A$99, 'Revenue Codes'!$B$2:$B$99, "")</f>
        <v>0</v>
      </c>
    </row>
    <row r="264" spans="3:3">
      <c r="C264" s="3">
        <f>_xlfn.XLOOKUP(B264, 'Revenue Codes'!$A$2:$A$99, 'Revenue Codes'!$B$2:$B$99, "")</f>
        <v>0</v>
      </c>
    </row>
    <row r="265" spans="3:3">
      <c r="C265" s="3">
        <f>_xlfn.XLOOKUP(B265, 'Revenue Codes'!$A$2:$A$99, 'Revenue Codes'!$B$2:$B$99, "")</f>
        <v>0</v>
      </c>
    </row>
    <row r="266" spans="3:3">
      <c r="C266" s="3">
        <f>_xlfn.XLOOKUP(B266, 'Revenue Codes'!$A$2:$A$99, 'Revenue Codes'!$B$2:$B$99, "")</f>
        <v>0</v>
      </c>
    </row>
    <row r="267" spans="3:3">
      <c r="C267" s="3">
        <f>_xlfn.XLOOKUP(B267, 'Revenue Codes'!$A$2:$A$99, 'Revenue Codes'!$B$2:$B$99, "")</f>
        <v>0</v>
      </c>
    </row>
    <row r="268" spans="3:3">
      <c r="C268" s="3">
        <f>_xlfn.XLOOKUP(B268, 'Revenue Codes'!$A$2:$A$99, 'Revenue Codes'!$B$2:$B$99, "")</f>
        <v>0</v>
      </c>
    </row>
    <row r="269" spans="3:3">
      <c r="C269" s="3">
        <f>_xlfn.XLOOKUP(B269, 'Revenue Codes'!$A$2:$A$99, 'Revenue Codes'!$B$2:$B$99, "")</f>
        <v>0</v>
      </c>
    </row>
    <row r="270" spans="3:3">
      <c r="C270" s="3">
        <f>_xlfn.XLOOKUP(B270, 'Revenue Codes'!$A$2:$A$99, 'Revenue Codes'!$B$2:$B$99, "")</f>
        <v>0</v>
      </c>
    </row>
    <row r="271" spans="3:3">
      <c r="C271" s="3">
        <f>_xlfn.XLOOKUP(B271, 'Revenue Codes'!$A$2:$A$99, 'Revenue Codes'!$B$2:$B$99, "")</f>
        <v>0</v>
      </c>
    </row>
    <row r="272" spans="3:3">
      <c r="C272" s="3">
        <f>_xlfn.XLOOKUP(B272, 'Revenue Codes'!$A$2:$A$99, 'Revenue Codes'!$B$2:$B$99, "")</f>
        <v>0</v>
      </c>
    </row>
    <row r="273" spans="3:3">
      <c r="C273" s="3">
        <f>_xlfn.XLOOKUP(B273, 'Revenue Codes'!$A$2:$A$99, 'Revenue Codes'!$B$2:$B$99, "")</f>
        <v>0</v>
      </c>
    </row>
    <row r="274" spans="3:3">
      <c r="C274" s="3">
        <f>_xlfn.XLOOKUP(B274, 'Revenue Codes'!$A$2:$A$99, 'Revenue Codes'!$B$2:$B$99, "")</f>
        <v>0</v>
      </c>
    </row>
    <row r="275" spans="3:3">
      <c r="C275" s="3">
        <f>_xlfn.XLOOKUP(B275, 'Revenue Codes'!$A$2:$A$99, 'Revenue Codes'!$B$2:$B$99, "")</f>
        <v>0</v>
      </c>
    </row>
    <row r="276" spans="3:3">
      <c r="C276" s="3">
        <f>_xlfn.XLOOKUP(B276, 'Revenue Codes'!$A$2:$A$99, 'Revenue Codes'!$B$2:$B$99, "")</f>
        <v>0</v>
      </c>
    </row>
    <row r="277" spans="3:3">
      <c r="C277" s="3">
        <f>_xlfn.XLOOKUP(B277, 'Revenue Codes'!$A$2:$A$99, 'Revenue Codes'!$B$2:$B$99, "")</f>
        <v>0</v>
      </c>
    </row>
    <row r="278" spans="3:3">
      <c r="C278" s="3">
        <f>_xlfn.XLOOKUP(B278, 'Revenue Codes'!$A$2:$A$99, 'Revenue Codes'!$B$2:$B$99, "")</f>
        <v>0</v>
      </c>
    </row>
    <row r="279" spans="3:3">
      <c r="C279" s="3">
        <f>_xlfn.XLOOKUP(B279, 'Revenue Codes'!$A$2:$A$99, 'Revenue Codes'!$B$2:$B$99, "")</f>
        <v>0</v>
      </c>
    </row>
    <row r="280" spans="3:3">
      <c r="C280" s="3">
        <f>_xlfn.XLOOKUP(B280, 'Revenue Codes'!$A$2:$A$99, 'Revenue Codes'!$B$2:$B$99, "")</f>
        <v>0</v>
      </c>
    </row>
    <row r="281" spans="3:3">
      <c r="C281" s="3">
        <f>_xlfn.XLOOKUP(B281, 'Revenue Codes'!$A$2:$A$99, 'Revenue Codes'!$B$2:$B$99, "")</f>
        <v>0</v>
      </c>
    </row>
    <row r="282" spans="3:3">
      <c r="C282" s="3">
        <f>_xlfn.XLOOKUP(B282, 'Revenue Codes'!$A$2:$A$99, 'Revenue Codes'!$B$2:$B$99, "")</f>
        <v>0</v>
      </c>
    </row>
    <row r="283" spans="3:3">
      <c r="C283" s="3">
        <f>_xlfn.XLOOKUP(B283, 'Revenue Codes'!$A$2:$A$99, 'Revenue Codes'!$B$2:$B$99, "")</f>
        <v>0</v>
      </c>
    </row>
    <row r="284" spans="3:3">
      <c r="C284" s="3">
        <f>_xlfn.XLOOKUP(B284, 'Revenue Codes'!$A$2:$A$99, 'Revenue Codes'!$B$2:$B$99, "")</f>
        <v>0</v>
      </c>
    </row>
    <row r="285" spans="3:3">
      <c r="C285" s="3">
        <f>_xlfn.XLOOKUP(B285, 'Revenue Codes'!$A$2:$A$99, 'Revenue Codes'!$B$2:$B$99, "")</f>
        <v>0</v>
      </c>
    </row>
    <row r="286" spans="3:3">
      <c r="C286" s="3">
        <f>_xlfn.XLOOKUP(B286, 'Revenue Codes'!$A$2:$A$99, 'Revenue Codes'!$B$2:$B$99, "")</f>
        <v>0</v>
      </c>
    </row>
    <row r="287" spans="3:3">
      <c r="C287" s="3">
        <f>_xlfn.XLOOKUP(B287, 'Revenue Codes'!$A$2:$A$99, 'Revenue Codes'!$B$2:$B$99, "")</f>
        <v>0</v>
      </c>
    </row>
    <row r="288" spans="3:3">
      <c r="C288" s="3">
        <f>_xlfn.XLOOKUP(B288, 'Revenue Codes'!$A$2:$A$99, 'Revenue Codes'!$B$2:$B$99, "")</f>
        <v>0</v>
      </c>
    </row>
    <row r="289" spans="3:3">
      <c r="C289" s="3">
        <f>_xlfn.XLOOKUP(B289, 'Revenue Codes'!$A$2:$A$99, 'Revenue Codes'!$B$2:$B$99, "")</f>
        <v>0</v>
      </c>
    </row>
    <row r="290" spans="3:3">
      <c r="C290" s="3">
        <f>_xlfn.XLOOKUP(B290, 'Revenue Codes'!$A$2:$A$99, 'Revenue Codes'!$B$2:$B$99, "")</f>
        <v>0</v>
      </c>
    </row>
    <row r="291" spans="3:3">
      <c r="C291" s="3">
        <f>_xlfn.XLOOKUP(B291, 'Revenue Codes'!$A$2:$A$99, 'Revenue Codes'!$B$2:$B$99, "")</f>
        <v>0</v>
      </c>
    </row>
    <row r="292" spans="3:3">
      <c r="C292" s="3">
        <f>_xlfn.XLOOKUP(B292, 'Revenue Codes'!$A$2:$A$99, 'Revenue Codes'!$B$2:$B$99, "")</f>
        <v>0</v>
      </c>
    </row>
    <row r="293" spans="3:3">
      <c r="C293" s="3">
        <f>_xlfn.XLOOKUP(B293, 'Revenue Codes'!$A$2:$A$99, 'Revenue Codes'!$B$2:$B$99, "")</f>
        <v>0</v>
      </c>
    </row>
    <row r="294" spans="3:3">
      <c r="C294" s="3">
        <f>_xlfn.XLOOKUP(B294, 'Revenue Codes'!$A$2:$A$99, 'Revenue Codes'!$B$2:$B$99, "")</f>
        <v>0</v>
      </c>
    </row>
    <row r="295" spans="3:3">
      <c r="C295" s="3">
        <f>_xlfn.XLOOKUP(B295, 'Revenue Codes'!$A$2:$A$99, 'Revenue Codes'!$B$2:$B$99, "")</f>
        <v>0</v>
      </c>
    </row>
    <row r="296" spans="3:3">
      <c r="C296" s="3">
        <f>_xlfn.XLOOKUP(B296, 'Revenue Codes'!$A$2:$A$99, 'Revenue Codes'!$B$2:$B$99, "")</f>
        <v>0</v>
      </c>
    </row>
    <row r="297" spans="3:3">
      <c r="C297" s="3">
        <f>_xlfn.XLOOKUP(B297, 'Revenue Codes'!$A$2:$A$99, 'Revenue Codes'!$B$2:$B$99, "")</f>
        <v>0</v>
      </c>
    </row>
    <row r="298" spans="3:3">
      <c r="C298" s="3">
        <f>_xlfn.XLOOKUP(B298, 'Revenue Codes'!$A$2:$A$99, 'Revenue Codes'!$B$2:$B$99, "")</f>
        <v>0</v>
      </c>
    </row>
    <row r="299" spans="3:3">
      <c r="C299" s="3">
        <f>_xlfn.XLOOKUP(B299, 'Revenue Codes'!$A$2:$A$99, 'Revenue Codes'!$B$2:$B$99, "")</f>
        <v>0</v>
      </c>
    </row>
    <row r="300" spans="3:3">
      <c r="C300" s="3">
        <f>_xlfn.XLOOKUP(B300, 'Revenue Codes'!$A$2:$A$99, 'Revenue Codes'!$B$2:$B$99, "")</f>
        <v>0</v>
      </c>
    </row>
    <row r="301" spans="3:3">
      <c r="C301" s="3">
        <f>_xlfn.XLOOKUP(B301, 'Revenue Codes'!$A$2:$A$99, 'Revenue Codes'!$B$2:$B$99, "")</f>
        <v>0</v>
      </c>
    </row>
    <row r="302" spans="3:3">
      <c r="C302" s="3">
        <f>_xlfn.XLOOKUP(B302, 'Revenue Codes'!$A$2:$A$99, 'Revenue Codes'!$B$2:$B$99, "")</f>
        <v>0</v>
      </c>
    </row>
    <row r="303" spans="3:3">
      <c r="C303" s="3">
        <f>_xlfn.XLOOKUP(B303, 'Revenue Codes'!$A$2:$A$99, 'Revenue Codes'!$B$2:$B$99, "")</f>
        <v>0</v>
      </c>
    </row>
    <row r="304" spans="3:3">
      <c r="C304" s="3">
        <f>_xlfn.XLOOKUP(B304, 'Revenue Codes'!$A$2:$A$99, 'Revenue Codes'!$B$2:$B$99, "")</f>
        <v>0</v>
      </c>
    </row>
    <row r="305" spans="3:3">
      <c r="C305" s="3">
        <f>_xlfn.XLOOKUP(B305, 'Revenue Codes'!$A$2:$A$99, 'Revenue Codes'!$B$2:$B$99, "")</f>
        <v>0</v>
      </c>
    </row>
    <row r="306" spans="3:3">
      <c r="C306" s="3">
        <f>_xlfn.XLOOKUP(B306, 'Revenue Codes'!$A$2:$A$99, 'Revenue Codes'!$B$2:$B$99, "")</f>
        <v>0</v>
      </c>
    </row>
    <row r="307" spans="3:3">
      <c r="C307" s="3">
        <f>_xlfn.XLOOKUP(B307, 'Revenue Codes'!$A$2:$A$99, 'Revenue Codes'!$B$2:$B$99, "")</f>
        <v>0</v>
      </c>
    </row>
    <row r="308" spans="3:3">
      <c r="C308" s="3">
        <f>_xlfn.XLOOKUP(B308, 'Revenue Codes'!$A$2:$A$99, 'Revenue Codes'!$B$2:$B$99, "")</f>
        <v>0</v>
      </c>
    </row>
    <row r="309" spans="3:3">
      <c r="C309" s="3">
        <f>_xlfn.XLOOKUP(B309, 'Revenue Codes'!$A$2:$A$99, 'Revenue Codes'!$B$2:$B$99, "")</f>
        <v>0</v>
      </c>
    </row>
    <row r="310" spans="3:3">
      <c r="C310" s="3">
        <f>_xlfn.XLOOKUP(B310, 'Revenue Codes'!$A$2:$A$99, 'Revenue Codes'!$B$2:$B$99, "")</f>
        <v>0</v>
      </c>
    </row>
    <row r="311" spans="3:3">
      <c r="C311" s="3">
        <f>_xlfn.XLOOKUP(B311, 'Revenue Codes'!$A$2:$A$99, 'Revenue Codes'!$B$2:$B$99, "")</f>
        <v>0</v>
      </c>
    </row>
    <row r="312" spans="3:3">
      <c r="C312" s="3">
        <f>_xlfn.XLOOKUP(B312, 'Revenue Codes'!$A$2:$A$99, 'Revenue Codes'!$B$2:$B$99, "")</f>
        <v>0</v>
      </c>
    </row>
    <row r="313" spans="3:3">
      <c r="C313" s="3">
        <f>_xlfn.XLOOKUP(B313, 'Revenue Codes'!$A$2:$A$99, 'Revenue Codes'!$B$2:$B$99, "")</f>
        <v>0</v>
      </c>
    </row>
    <row r="314" spans="3:3">
      <c r="C314" s="3">
        <f>_xlfn.XLOOKUP(B314, 'Revenue Codes'!$A$2:$A$99, 'Revenue Codes'!$B$2:$B$99, "")</f>
        <v>0</v>
      </c>
    </row>
    <row r="315" spans="3:3">
      <c r="C315" s="3">
        <f>_xlfn.XLOOKUP(B315, 'Revenue Codes'!$A$2:$A$99, 'Revenue Codes'!$B$2:$B$99, "")</f>
        <v>0</v>
      </c>
    </row>
    <row r="316" spans="3:3">
      <c r="C316" s="3">
        <f>_xlfn.XLOOKUP(B316, 'Revenue Codes'!$A$2:$A$99, 'Revenue Codes'!$B$2:$B$99, "")</f>
        <v>0</v>
      </c>
    </row>
    <row r="317" spans="3:3">
      <c r="C317" s="3">
        <f>_xlfn.XLOOKUP(B317, 'Revenue Codes'!$A$2:$A$99, 'Revenue Codes'!$B$2:$B$99, "")</f>
        <v>0</v>
      </c>
    </row>
    <row r="318" spans="3:3">
      <c r="C318" s="3">
        <f>_xlfn.XLOOKUP(B318, 'Revenue Codes'!$A$2:$A$99, 'Revenue Codes'!$B$2:$B$99, "")</f>
        <v>0</v>
      </c>
    </row>
    <row r="319" spans="3:3">
      <c r="C319" s="3">
        <f>_xlfn.XLOOKUP(B319, 'Revenue Codes'!$A$2:$A$99, 'Revenue Codes'!$B$2:$B$99, "")</f>
        <v>0</v>
      </c>
    </row>
    <row r="320" spans="3:3">
      <c r="C320" s="3">
        <f>_xlfn.XLOOKUP(B320, 'Revenue Codes'!$A$2:$A$99, 'Revenue Codes'!$B$2:$B$99, "")</f>
        <v>0</v>
      </c>
    </row>
    <row r="321" spans="3:3">
      <c r="C321" s="3">
        <f>_xlfn.XLOOKUP(B321, 'Revenue Codes'!$A$2:$A$99, 'Revenue Codes'!$B$2:$B$99, "")</f>
        <v>0</v>
      </c>
    </row>
    <row r="322" spans="3:3">
      <c r="C322" s="3">
        <f>_xlfn.XLOOKUP(B322, 'Revenue Codes'!$A$2:$A$99, 'Revenue Codes'!$B$2:$B$99, "")</f>
        <v>0</v>
      </c>
    </row>
    <row r="323" spans="3:3">
      <c r="C323" s="3">
        <f>_xlfn.XLOOKUP(B323, 'Revenue Codes'!$A$2:$A$99, 'Revenue Codes'!$B$2:$B$99, "")</f>
        <v>0</v>
      </c>
    </row>
    <row r="324" spans="3:3">
      <c r="C324" s="3">
        <f>_xlfn.XLOOKUP(B324, 'Revenue Codes'!$A$2:$A$99, 'Revenue Codes'!$B$2:$B$99, "")</f>
        <v>0</v>
      </c>
    </row>
    <row r="325" spans="3:3">
      <c r="C325" s="3">
        <f>_xlfn.XLOOKUP(B325, 'Revenue Codes'!$A$2:$A$99, 'Revenue Codes'!$B$2:$B$99, "")</f>
        <v>0</v>
      </c>
    </row>
    <row r="326" spans="3:3">
      <c r="C326" s="3">
        <f>_xlfn.XLOOKUP(B326, 'Revenue Codes'!$A$2:$A$99, 'Revenue Codes'!$B$2:$B$99, "")</f>
        <v>0</v>
      </c>
    </row>
    <row r="327" spans="3:3">
      <c r="C327" s="3">
        <f>_xlfn.XLOOKUP(B327, 'Revenue Codes'!$A$2:$A$99, 'Revenue Codes'!$B$2:$B$99, "")</f>
        <v>0</v>
      </c>
    </row>
    <row r="328" spans="3:3">
      <c r="C328" s="3">
        <f>_xlfn.XLOOKUP(B328, 'Revenue Codes'!$A$2:$A$99, 'Revenue Codes'!$B$2:$B$99, "")</f>
        <v>0</v>
      </c>
    </row>
    <row r="329" spans="3:3">
      <c r="C329" s="3">
        <f>_xlfn.XLOOKUP(B329, 'Revenue Codes'!$A$2:$A$99, 'Revenue Codes'!$B$2:$B$99, "")</f>
        <v>0</v>
      </c>
    </row>
    <row r="330" spans="3:3">
      <c r="C330" s="3">
        <f>_xlfn.XLOOKUP(B330, 'Revenue Codes'!$A$2:$A$99, 'Revenue Codes'!$B$2:$B$99, "")</f>
        <v>0</v>
      </c>
    </row>
    <row r="331" spans="3:3">
      <c r="C331" s="3">
        <f>_xlfn.XLOOKUP(B331, 'Revenue Codes'!$A$2:$A$99, 'Revenue Codes'!$B$2:$B$99, "")</f>
        <v>0</v>
      </c>
    </row>
    <row r="332" spans="3:3">
      <c r="C332" s="3">
        <f>_xlfn.XLOOKUP(B332, 'Revenue Codes'!$A$2:$A$99, 'Revenue Codes'!$B$2:$B$99, "")</f>
        <v>0</v>
      </c>
    </row>
    <row r="333" spans="3:3">
      <c r="C333" s="3">
        <f>_xlfn.XLOOKUP(B333, 'Revenue Codes'!$A$2:$A$99, 'Revenue Codes'!$B$2:$B$99, "")</f>
        <v>0</v>
      </c>
    </row>
    <row r="334" spans="3:3">
      <c r="C334" s="3">
        <f>_xlfn.XLOOKUP(B334, 'Revenue Codes'!$A$2:$A$99, 'Revenue Codes'!$B$2:$B$99, "")</f>
        <v>0</v>
      </c>
    </row>
    <row r="335" spans="3:3">
      <c r="C335" s="3">
        <f>_xlfn.XLOOKUP(B335, 'Revenue Codes'!$A$2:$A$99, 'Revenue Codes'!$B$2:$B$99, "")</f>
        <v>0</v>
      </c>
    </row>
    <row r="336" spans="3:3">
      <c r="C336" s="3">
        <f>_xlfn.XLOOKUP(B336, 'Revenue Codes'!$A$2:$A$99, 'Revenue Codes'!$B$2:$B$99, "")</f>
        <v>0</v>
      </c>
    </row>
    <row r="337" spans="3:3">
      <c r="C337" s="3">
        <f>_xlfn.XLOOKUP(B337, 'Revenue Codes'!$A$2:$A$99, 'Revenue Codes'!$B$2:$B$99, "")</f>
        <v>0</v>
      </c>
    </row>
    <row r="338" spans="3:3">
      <c r="C338" s="3">
        <f>_xlfn.XLOOKUP(B338, 'Revenue Codes'!$A$2:$A$99, 'Revenue Codes'!$B$2:$B$99, "")</f>
        <v>0</v>
      </c>
    </row>
    <row r="339" spans="3:3">
      <c r="C339" s="3">
        <f>_xlfn.XLOOKUP(B339, 'Revenue Codes'!$A$2:$A$99, 'Revenue Codes'!$B$2:$B$99, "")</f>
        <v>0</v>
      </c>
    </row>
    <row r="340" spans="3:3">
      <c r="C340" s="3">
        <f>_xlfn.XLOOKUP(B340, 'Revenue Codes'!$A$2:$A$99, 'Revenue Codes'!$B$2:$B$99, "")</f>
        <v>0</v>
      </c>
    </row>
    <row r="341" spans="3:3">
      <c r="C341" s="3">
        <f>_xlfn.XLOOKUP(B341, 'Revenue Codes'!$A$2:$A$99, 'Revenue Codes'!$B$2:$B$99, "")</f>
        <v>0</v>
      </c>
    </row>
    <row r="342" spans="3:3">
      <c r="C342" s="3">
        <f>_xlfn.XLOOKUP(B342, 'Revenue Codes'!$A$2:$A$99, 'Revenue Codes'!$B$2:$B$99, "")</f>
        <v>0</v>
      </c>
    </row>
    <row r="343" spans="3:3">
      <c r="C343" s="3">
        <f>_xlfn.XLOOKUP(B343, 'Revenue Codes'!$A$2:$A$99, 'Revenue Codes'!$B$2:$B$99, "")</f>
        <v>0</v>
      </c>
    </row>
    <row r="344" spans="3:3">
      <c r="C344" s="3">
        <f>_xlfn.XLOOKUP(B344, 'Revenue Codes'!$A$2:$A$99, 'Revenue Codes'!$B$2:$B$99, "")</f>
        <v>0</v>
      </c>
    </row>
    <row r="345" spans="3:3">
      <c r="C345" s="3">
        <f>_xlfn.XLOOKUP(B345, 'Revenue Codes'!$A$2:$A$99, 'Revenue Codes'!$B$2:$B$99, "")</f>
        <v>0</v>
      </c>
    </row>
    <row r="346" spans="3:3">
      <c r="C346" s="3">
        <f>_xlfn.XLOOKUP(B346, 'Revenue Codes'!$A$2:$A$99, 'Revenue Codes'!$B$2:$B$99, "")</f>
        <v>0</v>
      </c>
    </row>
    <row r="347" spans="3:3">
      <c r="C347" s="3">
        <f>_xlfn.XLOOKUP(B347, 'Revenue Codes'!$A$2:$A$99, 'Revenue Codes'!$B$2:$B$99, "")</f>
        <v>0</v>
      </c>
    </row>
    <row r="348" spans="3:3">
      <c r="C348" s="3">
        <f>_xlfn.XLOOKUP(B348, 'Revenue Codes'!$A$2:$A$99, 'Revenue Codes'!$B$2:$B$99, "")</f>
        <v>0</v>
      </c>
    </row>
    <row r="349" spans="3:3">
      <c r="C349" s="3">
        <f>_xlfn.XLOOKUP(B349, 'Revenue Codes'!$A$2:$A$99, 'Revenue Codes'!$B$2:$B$99, "")</f>
        <v>0</v>
      </c>
    </row>
    <row r="350" spans="3:3">
      <c r="C350" s="3">
        <f>_xlfn.XLOOKUP(B350, 'Revenue Codes'!$A$2:$A$99, 'Revenue Codes'!$B$2:$B$99, "")</f>
        <v>0</v>
      </c>
    </row>
    <row r="351" spans="3:3">
      <c r="C351" s="3">
        <f>_xlfn.XLOOKUP(B351, 'Revenue Codes'!$A$2:$A$99, 'Revenue Codes'!$B$2:$B$99, "")</f>
        <v>0</v>
      </c>
    </row>
    <row r="352" spans="3:3">
      <c r="C352" s="3">
        <f>_xlfn.XLOOKUP(B352, 'Revenue Codes'!$A$2:$A$99, 'Revenue Codes'!$B$2:$B$99, "")</f>
        <v>0</v>
      </c>
    </row>
    <row r="353" spans="3:3">
      <c r="C353" s="3">
        <f>_xlfn.XLOOKUP(B353, 'Revenue Codes'!$A$2:$A$99, 'Revenue Codes'!$B$2:$B$99, "")</f>
        <v>0</v>
      </c>
    </row>
    <row r="354" spans="3:3">
      <c r="C354" s="3">
        <f>_xlfn.XLOOKUP(B354, 'Revenue Codes'!$A$2:$A$99, 'Revenue Codes'!$B$2:$B$99, "")</f>
        <v>0</v>
      </c>
    </row>
    <row r="355" spans="3:3">
      <c r="C355" s="3">
        <f>_xlfn.XLOOKUP(B355, 'Revenue Codes'!$A$2:$A$99, 'Revenue Codes'!$B$2:$B$99, "")</f>
        <v>0</v>
      </c>
    </row>
    <row r="356" spans="3:3">
      <c r="C356" s="3">
        <f>_xlfn.XLOOKUP(B356, 'Revenue Codes'!$A$2:$A$99, 'Revenue Codes'!$B$2:$B$99, "")</f>
        <v>0</v>
      </c>
    </row>
    <row r="357" spans="3:3">
      <c r="C357" s="3">
        <f>_xlfn.XLOOKUP(B357, 'Revenue Codes'!$A$2:$A$99, 'Revenue Codes'!$B$2:$B$99, "")</f>
        <v>0</v>
      </c>
    </row>
    <row r="358" spans="3:3">
      <c r="C358" s="3">
        <f>_xlfn.XLOOKUP(B358, 'Revenue Codes'!$A$2:$A$99, 'Revenue Codes'!$B$2:$B$99, "")</f>
        <v>0</v>
      </c>
    </row>
    <row r="359" spans="3:3">
      <c r="C359" s="3">
        <f>_xlfn.XLOOKUP(B359, 'Revenue Codes'!$A$2:$A$99, 'Revenue Codes'!$B$2:$B$99, "")</f>
        <v>0</v>
      </c>
    </row>
    <row r="360" spans="3:3">
      <c r="C360" s="3">
        <f>_xlfn.XLOOKUP(B360, 'Revenue Codes'!$A$2:$A$99, 'Revenue Codes'!$B$2:$B$99, "")</f>
        <v>0</v>
      </c>
    </row>
    <row r="361" spans="3:3">
      <c r="C361" s="3">
        <f>_xlfn.XLOOKUP(B361, 'Revenue Codes'!$A$2:$A$99, 'Revenue Codes'!$B$2:$B$99, "")</f>
        <v>0</v>
      </c>
    </row>
    <row r="362" spans="3:3">
      <c r="C362" s="3">
        <f>_xlfn.XLOOKUP(B362, 'Revenue Codes'!$A$2:$A$99, 'Revenue Codes'!$B$2:$B$99, "")</f>
        <v>0</v>
      </c>
    </row>
    <row r="363" spans="3:3">
      <c r="C363" s="3">
        <f>_xlfn.XLOOKUP(B363, 'Revenue Codes'!$A$2:$A$99, 'Revenue Codes'!$B$2:$B$99, "")</f>
        <v>0</v>
      </c>
    </row>
    <row r="364" spans="3:3">
      <c r="C364" s="3">
        <f>_xlfn.XLOOKUP(B364, 'Revenue Codes'!$A$2:$A$99, 'Revenue Codes'!$B$2:$B$99, "")</f>
        <v>0</v>
      </c>
    </row>
    <row r="365" spans="3:3">
      <c r="C365" s="3">
        <f>_xlfn.XLOOKUP(B365, 'Revenue Codes'!$A$2:$A$99, 'Revenue Codes'!$B$2:$B$99, "")</f>
        <v>0</v>
      </c>
    </row>
    <row r="366" spans="3:3">
      <c r="C366" s="3">
        <f>_xlfn.XLOOKUP(B366, 'Revenue Codes'!$A$2:$A$99, 'Revenue Codes'!$B$2:$B$99, "")</f>
        <v>0</v>
      </c>
    </row>
    <row r="367" spans="3:3">
      <c r="C367" s="3">
        <f>_xlfn.XLOOKUP(B367, 'Revenue Codes'!$A$2:$A$99, 'Revenue Codes'!$B$2:$B$99, "")</f>
        <v>0</v>
      </c>
    </row>
    <row r="368" spans="3:3">
      <c r="C368" s="3">
        <f>_xlfn.XLOOKUP(B368, 'Revenue Codes'!$A$2:$A$99, 'Revenue Codes'!$B$2:$B$99, "")</f>
        <v>0</v>
      </c>
    </row>
    <row r="369" spans="3:3">
      <c r="C369" s="3">
        <f>_xlfn.XLOOKUP(B369, 'Revenue Codes'!$A$2:$A$99, 'Revenue Codes'!$B$2:$B$99, "")</f>
        <v>0</v>
      </c>
    </row>
    <row r="370" spans="3:3">
      <c r="C370" s="3">
        <f>_xlfn.XLOOKUP(B370, 'Revenue Codes'!$A$2:$A$99, 'Revenue Codes'!$B$2:$B$99, "")</f>
        <v>0</v>
      </c>
    </row>
    <row r="371" spans="3:3">
      <c r="C371" s="3">
        <f>_xlfn.XLOOKUP(B371, 'Revenue Codes'!$A$2:$A$99, 'Revenue Codes'!$B$2:$B$99, "")</f>
        <v>0</v>
      </c>
    </row>
    <row r="372" spans="3:3">
      <c r="C372" s="3">
        <f>_xlfn.XLOOKUP(B372, 'Revenue Codes'!$A$2:$A$99, 'Revenue Codes'!$B$2:$B$99, "")</f>
        <v>0</v>
      </c>
    </row>
    <row r="373" spans="3:3">
      <c r="C373" s="3">
        <f>_xlfn.XLOOKUP(B373, 'Revenue Codes'!$A$2:$A$99, 'Revenue Codes'!$B$2:$B$99, "")</f>
        <v>0</v>
      </c>
    </row>
    <row r="374" spans="3:3">
      <c r="C374" s="3">
        <f>_xlfn.XLOOKUP(B374, 'Revenue Codes'!$A$2:$A$99, 'Revenue Codes'!$B$2:$B$99, "")</f>
        <v>0</v>
      </c>
    </row>
    <row r="375" spans="3:3">
      <c r="C375" s="3">
        <f>_xlfn.XLOOKUP(B375, 'Revenue Codes'!$A$2:$A$99, 'Revenue Codes'!$B$2:$B$99, "")</f>
        <v>0</v>
      </c>
    </row>
    <row r="376" spans="3:3">
      <c r="C376" s="3">
        <f>_xlfn.XLOOKUP(B376, 'Revenue Codes'!$A$2:$A$99, 'Revenue Codes'!$B$2:$B$99, "")</f>
        <v>0</v>
      </c>
    </row>
    <row r="377" spans="3:3">
      <c r="C377" s="3">
        <f>_xlfn.XLOOKUP(B377, 'Revenue Codes'!$A$2:$A$99, 'Revenue Codes'!$B$2:$B$99, "")</f>
        <v>0</v>
      </c>
    </row>
    <row r="378" spans="3:3">
      <c r="C378" s="3">
        <f>_xlfn.XLOOKUP(B378, 'Revenue Codes'!$A$2:$A$99, 'Revenue Codes'!$B$2:$B$99, "")</f>
        <v>0</v>
      </c>
    </row>
    <row r="379" spans="3:3">
      <c r="C379" s="3">
        <f>_xlfn.XLOOKUP(B379, 'Revenue Codes'!$A$2:$A$99, 'Revenue Codes'!$B$2:$B$99, "")</f>
        <v>0</v>
      </c>
    </row>
    <row r="380" spans="3:3">
      <c r="C380" s="3">
        <f>_xlfn.XLOOKUP(B380, 'Revenue Codes'!$A$2:$A$99, 'Revenue Codes'!$B$2:$B$99, "")</f>
        <v>0</v>
      </c>
    </row>
    <row r="381" spans="3:3">
      <c r="C381" s="3">
        <f>_xlfn.XLOOKUP(B381, 'Revenue Codes'!$A$2:$A$99, 'Revenue Codes'!$B$2:$B$99, "")</f>
        <v>0</v>
      </c>
    </row>
    <row r="382" spans="3:3">
      <c r="C382" s="3">
        <f>_xlfn.XLOOKUP(B382, 'Revenue Codes'!$A$2:$A$99, 'Revenue Codes'!$B$2:$B$99, "")</f>
        <v>0</v>
      </c>
    </row>
    <row r="383" spans="3:3">
      <c r="C383" s="3">
        <f>_xlfn.XLOOKUP(B383, 'Revenue Codes'!$A$2:$A$99, 'Revenue Codes'!$B$2:$B$99, "")</f>
        <v>0</v>
      </c>
    </row>
    <row r="384" spans="3:3">
      <c r="C384" s="3">
        <f>_xlfn.XLOOKUP(B384, 'Revenue Codes'!$A$2:$A$99, 'Revenue Codes'!$B$2:$B$99, "")</f>
        <v>0</v>
      </c>
    </row>
    <row r="385" spans="3:3">
      <c r="C385" s="3">
        <f>_xlfn.XLOOKUP(B385, 'Revenue Codes'!$A$2:$A$99, 'Revenue Codes'!$B$2:$B$99, "")</f>
        <v>0</v>
      </c>
    </row>
    <row r="386" spans="3:3">
      <c r="C386" s="3">
        <f>_xlfn.XLOOKUP(B386, 'Revenue Codes'!$A$2:$A$99, 'Revenue Codes'!$B$2:$B$99, "")</f>
        <v>0</v>
      </c>
    </row>
    <row r="387" spans="3:3">
      <c r="C387" s="3">
        <f>_xlfn.XLOOKUP(B387, 'Revenue Codes'!$A$2:$A$99, 'Revenue Codes'!$B$2:$B$99, "")</f>
        <v>0</v>
      </c>
    </row>
    <row r="388" spans="3:3">
      <c r="C388" s="3">
        <f>_xlfn.XLOOKUP(B388, 'Revenue Codes'!$A$2:$A$99, 'Revenue Codes'!$B$2:$B$99, "")</f>
        <v>0</v>
      </c>
    </row>
    <row r="389" spans="3:3">
      <c r="C389" s="3">
        <f>_xlfn.XLOOKUP(B389, 'Revenue Codes'!$A$2:$A$99, 'Revenue Codes'!$B$2:$B$99, "")</f>
        <v>0</v>
      </c>
    </row>
    <row r="390" spans="3:3">
      <c r="C390" s="3">
        <f>_xlfn.XLOOKUP(B390, 'Revenue Codes'!$A$2:$A$99, 'Revenue Codes'!$B$2:$B$99, "")</f>
        <v>0</v>
      </c>
    </row>
    <row r="391" spans="3:3">
      <c r="C391" s="3">
        <f>_xlfn.XLOOKUP(B391, 'Revenue Codes'!$A$2:$A$99, 'Revenue Codes'!$B$2:$B$99, "")</f>
        <v>0</v>
      </c>
    </row>
    <row r="392" spans="3:3">
      <c r="C392" s="3">
        <f>_xlfn.XLOOKUP(B392, 'Revenue Codes'!$A$2:$A$99, 'Revenue Codes'!$B$2:$B$99, "")</f>
        <v>0</v>
      </c>
    </row>
    <row r="393" spans="3:3">
      <c r="C393" s="3">
        <f>_xlfn.XLOOKUP(B393, 'Revenue Codes'!$A$2:$A$99, 'Revenue Codes'!$B$2:$B$99, "")</f>
        <v>0</v>
      </c>
    </row>
    <row r="394" spans="3:3">
      <c r="C394" s="3">
        <f>_xlfn.XLOOKUP(B394, 'Revenue Codes'!$A$2:$A$99, 'Revenue Codes'!$B$2:$B$99, "")</f>
        <v>0</v>
      </c>
    </row>
    <row r="395" spans="3:3">
      <c r="C395" s="3">
        <f>_xlfn.XLOOKUP(B395, 'Revenue Codes'!$A$2:$A$99, 'Revenue Codes'!$B$2:$B$99, "")</f>
        <v>0</v>
      </c>
    </row>
    <row r="396" spans="3:3">
      <c r="C396" s="3">
        <f>_xlfn.XLOOKUP(B396, 'Revenue Codes'!$A$2:$A$99, 'Revenue Codes'!$B$2:$B$99, "")</f>
        <v>0</v>
      </c>
    </row>
    <row r="397" spans="3:3">
      <c r="C397" s="3">
        <f>_xlfn.XLOOKUP(B397, 'Revenue Codes'!$A$2:$A$99, 'Revenue Codes'!$B$2:$B$99, "")</f>
        <v>0</v>
      </c>
    </row>
    <row r="398" spans="3:3">
      <c r="C398" s="3">
        <f>_xlfn.XLOOKUP(B398, 'Revenue Codes'!$A$2:$A$99, 'Revenue Codes'!$B$2:$B$99, "")</f>
        <v>0</v>
      </c>
    </row>
    <row r="399" spans="3:3">
      <c r="C399" s="3">
        <f>_xlfn.XLOOKUP(B399, 'Revenue Codes'!$A$2:$A$99, 'Revenue Codes'!$B$2:$B$99, "")</f>
        <v>0</v>
      </c>
    </row>
    <row r="400" spans="3:3">
      <c r="C400" s="3">
        <f>_xlfn.XLOOKUP(B400, 'Revenue Codes'!$A$2:$A$99, 'Revenue Codes'!$B$2:$B$99, "")</f>
        <v>0</v>
      </c>
    </row>
    <row r="401" spans="3:3">
      <c r="C401" s="3">
        <f>_xlfn.XLOOKUP(B401, 'Revenue Codes'!$A$2:$A$99, 'Revenue Codes'!$B$2:$B$99, "")</f>
        <v>0</v>
      </c>
    </row>
    <row r="402" spans="3:3">
      <c r="C402" s="3">
        <f>_xlfn.XLOOKUP(B402, 'Revenue Codes'!$A$2:$A$99, 'Revenue Codes'!$B$2:$B$99, "")</f>
        <v>0</v>
      </c>
    </row>
    <row r="403" spans="3:3">
      <c r="C403" s="3">
        <f>_xlfn.XLOOKUP(B403, 'Revenue Codes'!$A$2:$A$99, 'Revenue Codes'!$B$2:$B$99, "")</f>
        <v>0</v>
      </c>
    </row>
    <row r="404" spans="3:3">
      <c r="C404" s="3">
        <f>_xlfn.XLOOKUP(B404, 'Revenue Codes'!$A$2:$A$99, 'Revenue Codes'!$B$2:$B$99, "")</f>
        <v>0</v>
      </c>
    </row>
    <row r="405" spans="3:3">
      <c r="C405" s="3">
        <f>_xlfn.XLOOKUP(B405, 'Revenue Codes'!$A$2:$A$99, 'Revenue Codes'!$B$2:$B$99, "")</f>
        <v>0</v>
      </c>
    </row>
    <row r="406" spans="3:3">
      <c r="C406" s="3">
        <f>_xlfn.XLOOKUP(B406, 'Revenue Codes'!$A$2:$A$99, 'Revenue Codes'!$B$2:$B$99, "")</f>
        <v>0</v>
      </c>
    </row>
    <row r="407" spans="3:3">
      <c r="C407" s="3">
        <f>_xlfn.XLOOKUP(B407, 'Revenue Codes'!$A$2:$A$99, 'Revenue Codes'!$B$2:$B$99, "")</f>
        <v>0</v>
      </c>
    </row>
    <row r="408" spans="3:3">
      <c r="C408" s="3">
        <f>_xlfn.XLOOKUP(B408, 'Revenue Codes'!$A$2:$A$99, 'Revenue Codes'!$B$2:$B$99, "")</f>
        <v>0</v>
      </c>
    </row>
    <row r="409" spans="3:3">
      <c r="C409" s="3">
        <f>_xlfn.XLOOKUP(B409, 'Revenue Codes'!$A$2:$A$99, 'Revenue Codes'!$B$2:$B$99, "")</f>
        <v>0</v>
      </c>
    </row>
    <row r="410" spans="3:3">
      <c r="C410" s="3">
        <f>_xlfn.XLOOKUP(B410, 'Revenue Codes'!$A$2:$A$99, 'Revenue Codes'!$B$2:$B$99, "")</f>
        <v>0</v>
      </c>
    </row>
    <row r="411" spans="3:3">
      <c r="C411" s="3">
        <f>_xlfn.XLOOKUP(B411, 'Revenue Codes'!$A$2:$A$99, 'Revenue Codes'!$B$2:$B$99, "")</f>
        <v>0</v>
      </c>
    </row>
    <row r="412" spans="3:3">
      <c r="C412" s="3">
        <f>_xlfn.XLOOKUP(B412, 'Revenue Codes'!$A$2:$A$99, 'Revenue Codes'!$B$2:$B$99, "")</f>
        <v>0</v>
      </c>
    </row>
    <row r="413" spans="3:3">
      <c r="C413" s="3">
        <f>_xlfn.XLOOKUP(B413, 'Revenue Codes'!$A$2:$A$99, 'Revenue Codes'!$B$2:$B$99, "")</f>
        <v>0</v>
      </c>
    </row>
    <row r="414" spans="3:3">
      <c r="C414" s="3">
        <f>_xlfn.XLOOKUP(B414, 'Revenue Codes'!$A$2:$A$99, 'Revenue Codes'!$B$2:$B$99, "")</f>
        <v>0</v>
      </c>
    </row>
    <row r="415" spans="3:3">
      <c r="C415" s="3">
        <f>_xlfn.XLOOKUP(B415, 'Revenue Codes'!$A$2:$A$99, 'Revenue Codes'!$B$2:$B$99, "")</f>
        <v>0</v>
      </c>
    </row>
    <row r="416" spans="3:3">
      <c r="C416" s="3">
        <f>_xlfn.XLOOKUP(B416, 'Revenue Codes'!$A$2:$A$99, 'Revenue Codes'!$B$2:$B$99, "")</f>
        <v>0</v>
      </c>
    </row>
    <row r="417" spans="3:3">
      <c r="C417" s="3">
        <f>_xlfn.XLOOKUP(B417, 'Revenue Codes'!$A$2:$A$99, 'Revenue Codes'!$B$2:$B$99, "")</f>
        <v>0</v>
      </c>
    </row>
    <row r="418" spans="3:3">
      <c r="C418" s="3">
        <f>_xlfn.XLOOKUP(B418, 'Revenue Codes'!$A$2:$A$99, 'Revenue Codes'!$B$2:$B$99, "")</f>
        <v>0</v>
      </c>
    </row>
    <row r="419" spans="3:3">
      <c r="C419" s="3">
        <f>_xlfn.XLOOKUP(B419, 'Revenue Codes'!$A$2:$A$99, 'Revenue Codes'!$B$2:$B$99, "")</f>
        <v>0</v>
      </c>
    </row>
    <row r="420" spans="3:3">
      <c r="C420" s="3">
        <f>_xlfn.XLOOKUP(B420, 'Revenue Codes'!$A$2:$A$99, 'Revenue Codes'!$B$2:$B$99, "")</f>
        <v>0</v>
      </c>
    </row>
    <row r="421" spans="3:3">
      <c r="C421" s="3">
        <f>_xlfn.XLOOKUP(B421, 'Revenue Codes'!$A$2:$A$99, 'Revenue Codes'!$B$2:$B$99, "")</f>
        <v>0</v>
      </c>
    </row>
    <row r="422" spans="3:3">
      <c r="C422" s="3">
        <f>_xlfn.XLOOKUP(B422, 'Revenue Codes'!$A$2:$A$99, 'Revenue Codes'!$B$2:$B$99, "")</f>
        <v>0</v>
      </c>
    </row>
    <row r="423" spans="3:3">
      <c r="C423" s="3">
        <f>_xlfn.XLOOKUP(B423, 'Revenue Codes'!$A$2:$A$99, 'Revenue Codes'!$B$2:$B$99, "")</f>
        <v>0</v>
      </c>
    </row>
    <row r="424" spans="3:3">
      <c r="C424" s="3">
        <f>_xlfn.XLOOKUP(B424, 'Revenue Codes'!$A$2:$A$99, 'Revenue Codes'!$B$2:$B$99, "")</f>
        <v>0</v>
      </c>
    </row>
    <row r="425" spans="3:3">
      <c r="C425" s="3">
        <f>_xlfn.XLOOKUP(B425, 'Revenue Codes'!$A$2:$A$99, 'Revenue Codes'!$B$2:$B$99, "")</f>
        <v>0</v>
      </c>
    </row>
    <row r="426" spans="3:3">
      <c r="C426" s="3">
        <f>_xlfn.XLOOKUP(B426, 'Revenue Codes'!$A$2:$A$99, 'Revenue Codes'!$B$2:$B$99, "")</f>
        <v>0</v>
      </c>
    </row>
    <row r="427" spans="3:3">
      <c r="C427" s="3">
        <f>_xlfn.XLOOKUP(B427, 'Revenue Codes'!$A$2:$A$99, 'Revenue Codes'!$B$2:$B$99, "")</f>
        <v>0</v>
      </c>
    </row>
    <row r="428" spans="3:3">
      <c r="C428" s="3">
        <f>_xlfn.XLOOKUP(B428, 'Revenue Codes'!$A$2:$A$99, 'Revenue Codes'!$B$2:$B$99, "")</f>
        <v>0</v>
      </c>
    </row>
    <row r="429" spans="3:3">
      <c r="C429" s="3">
        <f>_xlfn.XLOOKUP(B429, 'Revenue Codes'!$A$2:$A$99, 'Revenue Codes'!$B$2:$B$99, "")</f>
        <v>0</v>
      </c>
    </row>
    <row r="430" spans="3:3">
      <c r="C430" s="3">
        <f>_xlfn.XLOOKUP(B430, 'Revenue Codes'!$A$2:$A$99, 'Revenue Codes'!$B$2:$B$99, "")</f>
        <v>0</v>
      </c>
    </row>
    <row r="431" spans="3:3">
      <c r="C431" s="3">
        <f>_xlfn.XLOOKUP(B431, 'Revenue Codes'!$A$2:$A$99, 'Revenue Codes'!$B$2:$B$99, "")</f>
        <v>0</v>
      </c>
    </row>
    <row r="432" spans="3:3">
      <c r="C432" s="3">
        <f>_xlfn.XLOOKUP(B432, 'Revenue Codes'!$A$2:$A$99, 'Revenue Codes'!$B$2:$B$99, "")</f>
        <v>0</v>
      </c>
    </row>
    <row r="433" spans="3:3">
      <c r="C433" s="3">
        <f>_xlfn.XLOOKUP(B433, 'Revenue Codes'!$A$2:$A$99, 'Revenue Codes'!$B$2:$B$99, "")</f>
        <v>0</v>
      </c>
    </row>
    <row r="434" spans="3:3">
      <c r="C434" s="3">
        <f>_xlfn.XLOOKUP(B434, 'Revenue Codes'!$A$2:$A$99, 'Revenue Codes'!$B$2:$B$99, "")</f>
        <v>0</v>
      </c>
    </row>
    <row r="435" spans="3:3">
      <c r="C435" s="3">
        <f>_xlfn.XLOOKUP(B435, 'Revenue Codes'!$A$2:$A$99, 'Revenue Codes'!$B$2:$B$99, "")</f>
        <v>0</v>
      </c>
    </row>
    <row r="436" spans="3:3">
      <c r="C436" s="3">
        <f>_xlfn.XLOOKUP(B436, 'Revenue Codes'!$A$2:$A$99, 'Revenue Codes'!$B$2:$B$99, "")</f>
        <v>0</v>
      </c>
    </row>
    <row r="437" spans="3:3">
      <c r="C437" s="3">
        <f>_xlfn.XLOOKUP(B437, 'Revenue Codes'!$A$2:$A$99, 'Revenue Codes'!$B$2:$B$99, "")</f>
        <v>0</v>
      </c>
    </row>
    <row r="438" spans="3:3">
      <c r="C438" s="3">
        <f>_xlfn.XLOOKUP(B438, 'Revenue Codes'!$A$2:$A$99, 'Revenue Codes'!$B$2:$B$99, "")</f>
        <v>0</v>
      </c>
    </row>
    <row r="439" spans="3:3">
      <c r="C439" s="3">
        <f>_xlfn.XLOOKUP(B439, 'Revenue Codes'!$A$2:$A$99, 'Revenue Codes'!$B$2:$B$99, "")</f>
        <v>0</v>
      </c>
    </row>
    <row r="440" spans="3:3">
      <c r="C440" s="3">
        <f>_xlfn.XLOOKUP(B440, 'Revenue Codes'!$A$2:$A$99, 'Revenue Codes'!$B$2:$B$99, "")</f>
        <v>0</v>
      </c>
    </row>
    <row r="441" spans="3:3">
      <c r="C441" s="3">
        <f>_xlfn.XLOOKUP(B441, 'Revenue Codes'!$A$2:$A$99, 'Revenue Codes'!$B$2:$B$99, "")</f>
        <v>0</v>
      </c>
    </row>
    <row r="442" spans="3:3">
      <c r="C442" s="3">
        <f>_xlfn.XLOOKUP(B442, 'Revenue Codes'!$A$2:$A$99, 'Revenue Codes'!$B$2:$B$99, "")</f>
        <v>0</v>
      </c>
    </row>
    <row r="443" spans="3:3">
      <c r="C443" s="3">
        <f>_xlfn.XLOOKUP(B443, 'Revenue Codes'!$A$2:$A$99, 'Revenue Codes'!$B$2:$B$99, "")</f>
        <v>0</v>
      </c>
    </row>
    <row r="444" spans="3:3">
      <c r="C444" s="3">
        <f>_xlfn.XLOOKUP(B444, 'Revenue Codes'!$A$2:$A$99, 'Revenue Codes'!$B$2:$B$99, "")</f>
        <v>0</v>
      </c>
    </row>
    <row r="445" spans="3:3">
      <c r="C445" s="3">
        <f>_xlfn.XLOOKUP(B445, 'Revenue Codes'!$A$2:$A$99, 'Revenue Codes'!$B$2:$B$99, "")</f>
        <v>0</v>
      </c>
    </row>
    <row r="446" spans="3:3">
      <c r="C446" s="3">
        <f>_xlfn.XLOOKUP(B446, 'Revenue Codes'!$A$2:$A$99, 'Revenue Codes'!$B$2:$B$99, "")</f>
        <v>0</v>
      </c>
    </row>
    <row r="447" spans="3:3">
      <c r="C447" s="3">
        <f>_xlfn.XLOOKUP(B447, 'Revenue Codes'!$A$2:$A$99, 'Revenue Codes'!$B$2:$B$99, "")</f>
        <v>0</v>
      </c>
    </row>
    <row r="448" spans="3:3">
      <c r="C448" s="3">
        <f>_xlfn.XLOOKUP(B448, 'Revenue Codes'!$A$2:$A$99, 'Revenue Codes'!$B$2:$B$99, "")</f>
        <v>0</v>
      </c>
    </row>
    <row r="449" spans="3:3">
      <c r="C449" s="3">
        <f>_xlfn.XLOOKUP(B449, 'Revenue Codes'!$A$2:$A$99, 'Revenue Codes'!$B$2:$B$99, "")</f>
        <v>0</v>
      </c>
    </row>
    <row r="450" spans="3:3">
      <c r="C450" s="3">
        <f>_xlfn.XLOOKUP(B450, 'Revenue Codes'!$A$2:$A$99, 'Revenue Codes'!$B$2:$B$99, "")</f>
        <v>0</v>
      </c>
    </row>
    <row r="451" spans="3:3">
      <c r="C451" s="3">
        <f>_xlfn.XLOOKUP(B451, 'Revenue Codes'!$A$2:$A$99, 'Revenue Codes'!$B$2:$B$99, "")</f>
        <v>0</v>
      </c>
    </row>
    <row r="452" spans="3:3">
      <c r="C452" s="3">
        <f>_xlfn.XLOOKUP(B452, 'Revenue Codes'!$A$2:$A$99, 'Revenue Codes'!$B$2:$B$99, "")</f>
        <v>0</v>
      </c>
    </row>
    <row r="453" spans="3:3">
      <c r="C453" s="3">
        <f>_xlfn.XLOOKUP(B453, 'Revenue Codes'!$A$2:$A$99, 'Revenue Codes'!$B$2:$B$99, "")</f>
        <v>0</v>
      </c>
    </row>
    <row r="454" spans="3:3">
      <c r="C454" s="3">
        <f>_xlfn.XLOOKUP(B454, 'Revenue Codes'!$A$2:$A$99, 'Revenue Codes'!$B$2:$B$99, "")</f>
        <v>0</v>
      </c>
    </row>
    <row r="455" spans="3:3">
      <c r="C455" s="3">
        <f>_xlfn.XLOOKUP(B455, 'Revenue Codes'!$A$2:$A$99, 'Revenue Codes'!$B$2:$B$99, "")</f>
        <v>0</v>
      </c>
    </row>
    <row r="456" spans="3:3">
      <c r="C456" s="3">
        <f>_xlfn.XLOOKUP(B456, 'Revenue Codes'!$A$2:$A$99, 'Revenue Codes'!$B$2:$B$99, "")</f>
        <v>0</v>
      </c>
    </row>
    <row r="457" spans="3:3">
      <c r="C457" s="3">
        <f>_xlfn.XLOOKUP(B457, 'Revenue Codes'!$A$2:$A$99, 'Revenue Codes'!$B$2:$B$99, "")</f>
        <v>0</v>
      </c>
    </row>
    <row r="458" spans="3:3">
      <c r="C458" s="3">
        <f>_xlfn.XLOOKUP(B458, 'Revenue Codes'!$A$2:$A$99, 'Revenue Codes'!$B$2:$B$99, "")</f>
        <v>0</v>
      </c>
    </row>
    <row r="459" spans="3:3">
      <c r="C459" s="3">
        <f>_xlfn.XLOOKUP(B459, 'Revenue Codes'!$A$2:$A$99, 'Revenue Codes'!$B$2:$B$99, "")</f>
        <v>0</v>
      </c>
    </row>
    <row r="460" spans="3:3">
      <c r="C460" s="3">
        <f>_xlfn.XLOOKUP(B460, 'Revenue Codes'!$A$2:$A$99, 'Revenue Codes'!$B$2:$B$99, "")</f>
        <v>0</v>
      </c>
    </row>
    <row r="461" spans="3:3">
      <c r="C461" s="3">
        <f>_xlfn.XLOOKUP(B461, 'Revenue Codes'!$A$2:$A$99, 'Revenue Codes'!$B$2:$B$99, "")</f>
        <v>0</v>
      </c>
    </row>
    <row r="462" spans="3:3">
      <c r="C462" s="3">
        <f>_xlfn.XLOOKUP(B462, 'Revenue Codes'!$A$2:$A$99, 'Revenue Codes'!$B$2:$B$99, "")</f>
        <v>0</v>
      </c>
    </row>
    <row r="463" spans="3:3">
      <c r="C463" s="3">
        <f>_xlfn.XLOOKUP(B463, 'Revenue Codes'!$A$2:$A$99, 'Revenue Codes'!$B$2:$B$99, "")</f>
        <v>0</v>
      </c>
    </row>
    <row r="464" spans="3:3">
      <c r="C464" s="3">
        <f>_xlfn.XLOOKUP(B464, 'Revenue Codes'!$A$2:$A$99, 'Revenue Codes'!$B$2:$B$99, "")</f>
        <v>0</v>
      </c>
    </row>
    <row r="465" spans="3:3">
      <c r="C465" s="3">
        <f>_xlfn.XLOOKUP(B465, 'Revenue Codes'!$A$2:$A$99, 'Revenue Codes'!$B$2:$B$99, "")</f>
        <v>0</v>
      </c>
    </row>
    <row r="466" spans="3:3">
      <c r="C466" s="3">
        <f>_xlfn.XLOOKUP(B466, 'Revenue Codes'!$A$2:$A$99, 'Revenue Codes'!$B$2:$B$99, "")</f>
        <v>0</v>
      </c>
    </row>
    <row r="467" spans="3:3">
      <c r="C467" s="3">
        <f>_xlfn.XLOOKUP(B467, 'Revenue Codes'!$A$2:$A$99, 'Revenue Codes'!$B$2:$B$99, "")</f>
        <v>0</v>
      </c>
    </row>
    <row r="468" spans="3:3">
      <c r="C468" s="3">
        <f>_xlfn.XLOOKUP(B468, 'Revenue Codes'!$A$2:$A$99, 'Revenue Codes'!$B$2:$B$99, "")</f>
        <v>0</v>
      </c>
    </row>
    <row r="469" spans="3:3">
      <c r="C469" s="3">
        <f>_xlfn.XLOOKUP(B469, 'Revenue Codes'!$A$2:$A$99, 'Revenue Codes'!$B$2:$B$99, "")</f>
        <v>0</v>
      </c>
    </row>
    <row r="470" spans="3:3">
      <c r="C470" s="3">
        <f>_xlfn.XLOOKUP(B470, 'Revenue Codes'!$A$2:$A$99, 'Revenue Codes'!$B$2:$B$99, "")</f>
        <v>0</v>
      </c>
    </row>
    <row r="471" spans="3:3">
      <c r="C471" s="3">
        <f>_xlfn.XLOOKUP(B471, 'Revenue Codes'!$A$2:$A$99, 'Revenue Codes'!$B$2:$B$99, "")</f>
        <v>0</v>
      </c>
    </row>
    <row r="472" spans="3:3">
      <c r="C472" s="3">
        <f>_xlfn.XLOOKUP(B472, 'Revenue Codes'!$A$2:$A$99, 'Revenue Codes'!$B$2:$B$99, "")</f>
        <v>0</v>
      </c>
    </row>
    <row r="473" spans="3:3">
      <c r="C473" s="3">
        <f>_xlfn.XLOOKUP(B473, 'Revenue Codes'!$A$2:$A$99, 'Revenue Codes'!$B$2:$B$99, "")</f>
        <v>0</v>
      </c>
    </row>
    <row r="474" spans="3:3">
      <c r="C474" s="3">
        <f>_xlfn.XLOOKUP(B474, 'Revenue Codes'!$A$2:$A$99, 'Revenue Codes'!$B$2:$B$99, "")</f>
        <v>0</v>
      </c>
    </row>
    <row r="475" spans="3:3">
      <c r="C475" s="3">
        <f>_xlfn.XLOOKUP(B475, 'Revenue Codes'!$A$2:$A$99, 'Revenue Codes'!$B$2:$B$99, "")</f>
        <v>0</v>
      </c>
    </row>
    <row r="476" spans="3:3">
      <c r="C476" s="3">
        <f>_xlfn.XLOOKUP(B476, 'Revenue Codes'!$A$2:$A$99, 'Revenue Codes'!$B$2:$B$99, "")</f>
        <v>0</v>
      </c>
    </row>
    <row r="477" spans="3:3">
      <c r="C477" s="3">
        <f>_xlfn.XLOOKUP(B477, 'Revenue Codes'!$A$2:$A$99, 'Revenue Codes'!$B$2:$B$99, "")</f>
        <v>0</v>
      </c>
    </row>
    <row r="478" spans="3:3">
      <c r="C478" s="3">
        <f>_xlfn.XLOOKUP(B478, 'Revenue Codes'!$A$2:$A$99, 'Revenue Codes'!$B$2:$B$99, "")</f>
        <v>0</v>
      </c>
    </row>
    <row r="479" spans="3:3">
      <c r="C479" s="3">
        <f>_xlfn.XLOOKUP(B479, 'Revenue Codes'!$A$2:$A$99, 'Revenue Codes'!$B$2:$B$99, "")</f>
        <v>0</v>
      </c>
    </row>
    <row r="480" spans="3:3">
      <c r="C480" s="3">
        <f>_xlfn.XLOOKUP(B480, 'Revenue Codes'!$A$2:$A$99, 'Revenue Codes'!$B$2:$B$99, "")</f>
        <v>0</v>
      </c>
    </row>
    <row r="481" spans="3:3">
      <c r="C481" s="3">
        <f>_xlfn.XLOOKUP(B481, 'Revenue Codes'!$A$2:$A$99, 'Revenue Codes'!$B$2:$B$99, "")</f>
        <v>0</v>
      </c>
    </row>
    <row r="482" spans="3:3">
      <c r="C482" s="3">
        <f>_xlfn.XLOOKUP(B482, 'Revenue Codes'!$A$2:$A$99, 'Revenue Codes'!$B$2:$B$99, "")</f>
        <v>0</v>
      </c>
    </row>
    <row r="483" spans="3:3">
      <c r="C483" s="3">
        <f>_xlfn.XLOOKUP(B483, 'Revenue Codes'!$A$2:$A$99, 'Revenue Codes'!$B$2:$B$99, "")</f>
        <v>0</v>
      </c>
    </row>
    <row r="484" spans="3:3">
      <c r="C484" s="3">
        <f>_xlfn.XLOOKUP(B484, 'Revenue Codes'!$A$2:$A$99, 'Revenue Codes'!$B$2:$B$99, "")</f>
        <v>0</v>
      </c>
    </row>
    <row r="485" spans="3:3">
      <c r="C485" s="3">
        <f>_xlfn.XLOOKUP(B485, 'Revenue Codes'!$A$2:$A$99, 'Revenue Codes'!$B$2:$B$99, "")</f>
        <v>0</v>
      </c>
    </row>
    <row r="486" spans="3:3">
      <c r="C486" s="3">
        <f>_xlfn.XLOOKUP(B486, 'Revenue Codes'!$A$2:$A$99, 'Revenue Codes'!$B$2:$B$99, "")</f>
        <v>0</v>
      </c>
    </row>
    <row r="487" spans="3:3">
      <c r="C487" s="3">
        <f>_xlfn.XLOOKUP(B487, 'Revenue Codes'!$A$2:$A$99, 'Revenue Codes'!$B$2:$B$99, "")</f>
        <v>0</v>
      </c>
    </row>
    <row r="488" spans="3:3">
      <c r="C488" s="3">
        <f>_xlfn.XLOOKUP(B488, 'Revenue Codes'!$A$2:$A$99, 'Revenue Codes'!$B$2:$B$99, "")</f>
        <v>0</v>
      </c>
    </row>
    <row r="489" spans="3:3">
      <c r="C489" s="3">
        <f>_xlfn.XLOOKUP(B489, 'Revenue Codes'!$A$2:$A$99, 'Revenue Codes'!$B$2:$B$99, "")</f>
        <v>0</v>
      </c>
    </row>
    <row r="490" spans="3:3">
      <c r="C490" s="3">
        <f>_xlfn.XLOOKUP(B490, 'Revenue Codes'!$A$2:$A$99, 'Revenue Codes'!$B$2:$B$99, "")</f>
        <v>0</v>
      </c>
    </row>
    <row r="491" spans="3:3">
      <c r="C491" s="3">
        <f>_xlfn.XLOOKUP(B491, 'Revenue Codes'!$A$2:$A$99, 'Revenue Codes'!$B$2:$B$99, "")</f>
        <v>0</v>
      </c>
    </row>
    <row r="492" spans="3:3">
      <c r="C492" s="3">
        <f>_xlfn.XLOOKUP(B492, 'Revenue Codes'!$A$2:$A$99, 'Revenue Codes'!$B$2:$B$99, "")</f>
        <v>0</v>
      </c>
    </row>
    <row r="493" spans="3:3">
      <c r="C493" s="3">
        <f>_xlfn.XLOOKUP(B493, 'Revenue Codes'!$A$2:$A$99, 'Revenue Codes'!$B$2:$B$99, "")</f>
        <v>0</v>
      </c>
    </row>
    <row r="494" spans="3:3">
      <c r="C494" s="3">
        <f>_xlfn.XLOOKUP(B494, 'Revenue Codes'!$A$2:$A$99, 'Revenue Codes'!$B$2:$B$99, "")</f>
        <v>0</v>
      </c>
    </row>
    <row r="495" spans="3:3">
      <c r="C495" s="3">
        <f>_xlfn.XLOOKUP(B495, 'Revenue Codes'!$A$2:$A$99, 'Revenue Codes'!$B$2:$B$99, "")</f>
        <v>0</v>
      </c>
    </row>
    <row r="496" spans="3:3">
      <c r="C496" s="3">
        <f>_xlfn.XLOOKUP(B496, 'Revenue Codes'!$A$2:$A$99, 'Revenue Codes'!$B$2:$B$99, "")</f>
        <v>0</v>
      </c>
    </row>
    <row r="497" spans="3:3">
      <c r="C497" s="3">
        <f>_xlfn.XLOOKUP(B497, 'Revenue Codes'!$A$2:$A$99, 'Revenue Codes'!$B$2:$B$99, "")</f>
        <v>0</v>
      </c>
    </row>
    <row r="498" spans="3:3">
      <c r="C498" s="3">
        <f>_xlfn.XLOOKUP(B498, 'Revenue Codes'!$A$2:$A$99, 'Revenue Codes'!$B$2:$B$99, "")</f>
        <v>0</v>
      </c>
    </row>
    <row r="499" spans="3:3">
      <c r="C499" s="3">
        <f>_xlfn.XLOOKUP(B499, 'Revenue Codes'!$A$2:$A$99, 'Revenue Codes'!$B$2:$B$99, "")</f>
        <v>0</v>
      </c>
    </row>
    <row r="500" spans="3:3">
      <c r="C500" s="3">
        <f>_xlfn.XLOOKUP(B500, 'Revenue Codes'!$A$2:$A$99, 'Revenue Codes'!$B$2:$B$99, "")</f>
        <v>0</v>
      </c>
    </row>
    <row r="501" spans="3:3">
      <c r="C501" s="3">
        <f>_xlfn.XLOOKUP(B501, 'Revenue Codes'!$A$2:$A$99, 'Revenue Codes'!$B$2:$B$99, "")</f>
        <v>0</v>
      </c>
    </row>
    <row r="502" spans="3:3">
      <c r="C502" s="3">
        <f>_xlfn.XLOOKUP(B502, 'Revenue Codes'!$A$2:$A$99, 'Revenue Codes'!$B$2:$B$99, "")</f>
        <v>0</v>
      </c>
    </row>
    <row r="503" spans="3:3">
      <c r="C503" s="3">
        <f>_xlfn.XLOOKUP(B503, 'Revenue Codes'!$A$2:$A$99, 'Revenue Codes'!$B$2:$B$99, "")</f>
        <v>0</v>
      </c>
    </row>
    <row r="504" spans="3:3">
      <c r="C504" s="3">
        <f>_xlfn.XLOOKUP(B504, 'Revenue Codes'!$A$2:$A$99, 'Revenue Codes'!$B$2:$B$99, "")</f>
        <v>0</v>
      </c>
    </row>
    <row r="505" spans="3:3">
      <c r="C505" s="3">
        <f>_xlfn.XLOOKUP(B505, 'Revenue Codes'!$A$2:$A$99, 'Revenue Codes'!$B$2:$B$99, "")</f>
        <v>0</v>
      </c>
    </row>
    <row r="506" spans="3:3">
      <c r="C506" s="3">
        <f>_xlfn.XLOOKUP(B506, 'Revenue Codes'!$A$2:$A$99, 'Revenue Codes'!$B$2:$B$99, "")</f>
        <v>0</v>
      </c>
    </row>
    <row r="507" spans="3:3">
      <c r="C507" s="3">
        <f>_xlfn.XLOOKUP(B507, 'Revenue Codes'!$A$2:$A$99, 'Revenue Codes'!$B$2:$B$99, "")</f>
        <v>0</v>
      </c>
    </row>
    <row r="508" spans="3:3">
      <c r="C508" s="3">
        <f>_xlfn.XLOOKUP(B508, 'Revenue Codes'!$A$2:$A$99, 'Revenue Codes'!$B$2:$B$99, "")</f>
        <v>0</v>
      </c>
    </row>
    <row r="509" spans="3:3">
      <c r="C509" s="3">
        <f>_xlfn.XLOOKUP(B509, 'Revenue Codes'!$A$2:$A$99, 'Revenue Codes'!$B$2:$B$99, "")</f>
        <v>0</v>
      </c>
    </row>
    <row r="510" spans="3:3">
      <c r="C510" s="3">
        <f>_xlfn.XLOOKUP(B510, 'Revenue Codes'!$A$2:$A$99, 'Revenue Codes'!$B$2:$B$99, "")</f>
        <v>0</v>
      </c>
    </row>
    <row r="511" spans="3:3">
      <c r="C511" s="3">
        <f>_xlfn.XLOOKUP(B511, 'Revenue Codes'!$A$2:$A$99, 'Revenue Codes'!$B$2:$B$99, "")</f>
        <v>0</v>
      </c>
    </row>
    <row r="512" spans="3:3">
      <c r="C512" s="3">
        <f>_xlfn.XLOOKUP(B512, 'Revenue Codes'!$A$2:$A$99, 'Revenue Codes'!$B$2:$B$99, "")</f>
        <v>0</v>
      </c>
    </row>
    <row r="513" spans="3:3">
      <c r="C513" s="3">
        <f>_xlfn.XLOOKUP(B513, 'Revenue Codes'!$A$2:$A$99, 'Revenue Codes'!$B$2:$B$99, "")</f>
        <v>0</v>
      </c>
    </row>
    <row r="514" spans="3:3">
      <c r="C514" s="3">
        <f>_xlfn.XLOOKUP(B514, 'Revenue Codes'!$A$2:$A$99, 'Revenue Codes'!$B$2:$B$99, "")</f>
        <v>0</v>
      </c>
    </row>
    <row r="515" spans="3:3">
      <c r="C515" s="3">
        <f>_xlfn.XLOOKUP(B515, 'Revenue Codes'!$A$2:$A$99, 'Revenue Codes'!$B$2:$B$99, "")</f>
        <v>0</v>
      </c>
    </row>
    <row r="516" spans="3:3">
      <c r="C516" s="3">
        <f>_xlfn.XLOOKUP(B516, 'Revenue Codes'!$A$2:$A$99, 'Revenue Codes'!$B$2:$B$99, "")</f>
        <v>0</v>
      </c>
    </row>
    <row r="517" spans="3:3">
      <c r="C517" s="3">
        <f>_xlfn.XLOOKUP(B517, 'Revenue Codes'!$A$2:$A$99, 'Revenue Codes'!$B$2:$B$99, "")</f>
        <v>0</v>
      </c>
    </row>
    <row r="518" spans="3:3">
      <c r="C518" s="3">
        <f>_xlfn.XLOOKUP(B518, 'Revenue Codes'!$A$2:$A$99, 'Revenue Codes'!$B$2:$B$99, "")</f>
        <v>0</v>
      </c>
    </row>
    <row r="519" spans="3:3">
      <c r="C519" s="3">
        <f>_xlfn.XLOOKUP(B519, 'Revenue Codes'!$A$2:$A$99, 'Revenue Codes'!$B$2:$B$99, "")</f>
        <v>0</v>
      </c>
    </row>
    <row r="520" spans="3:3">
      <c r="C520" s="3">
        <f>_xlfn.XLOOKUP(B520, 'Revenue Codes'!$A$2:$A$99, 'Revenue Codes'!$B$2:$B$99, "")</f>
        <v>0</v>
      </c>
    </row>
    <row r="521" spans="3:3">
      <c r="C521" s="3">
        <f>_xlfn.XLOOKUP(B521, 'Revenue Codes'!$A$2:$A$99, 'Revenue Codes'!$B$2:$B$99, "")</f>
        <v>0</v>
      </c>
    </row>
    <row r="522" spans="3:3">
      <c r="C522" s="3">
        <f>_xlfn.XLOOKUP(B522, 'Revenue Codes'!$A$2:$A$99, 'Revenue Codes'!$B$2:$B$99, "")</f>
        <v>0</v>
      </c>
    </row>
    <row r="523" spans="3:3">
      <c r="C523" s="3">
        <f>_xlfn.XLOOKUP(B523, 'Revenue Codes'!$A$2:$A$99, 'Revenue Codes'!$B$2:$B$99, "")</f>
        <v>0</v>
      </c>
    </row>
    <row r="524" spans="3:3">
      <c r="C524" s="3">
        <f>_xlfn.XLOOKUP(B524, 'Revenue Codes'!$A$2:$A$99, 'Revenue Codes'!$B$2:$B$99, "")</f>
        <v>0</v>
      </c>
    </row>
    <row r="525" spans="3:3">
      <c r="C525" s="3">
        <f>_xlfn.XLOOKUP(B525, 'Revenue Codes'!$A$2:$A$99, 'Revenue Codes'!$B$2:$B$99, "")</f>
        <v>0</v>
      </c>
    </row>
    <row r="526" spans="3:3">
      <c r="C526" s="3">
        <f>_xlfn.XLOOKUP(B526, 'Revenue Codes'!$A$2:$A$99, 'Revenue Codes'!$B$2:$B$99, "")</f>
        <v>0</v>
      </c>
    </row>
    <row r="527" spans="3:3">
      <c r="C527" s="3">
        <f>_xlfn.XLOOKUP(B527, 'Revenue Codes'!$A$2:$A$99, 'Revenue Codes'!$B$2:$B$99, "")</f>
        <v>0</v>
      </c>
    </row>
    <row r="528" spans="3:3">
      <c r="C528" s="3">
        <f>_xlfn.XLOOKUP(B528, 'Revenue Codes'!$A$2:$A$99, 'Revenue Codes'!$B$2:$B$99, "")</f>
        <v>0</v>
      </c>
    </row>
    <row r="529" spans="3:3">
      <c r="C529" s="3">
        <f>_xlfn.XLOOKUP(B529, 'Revenue Codes'!$A$2:$A$99, 'Revenue Codes'!$B$2:$B$99, "")</f>
        <v>0</v>
      </c>
    </row>
    <row r="530" spans="3:3">
      <c r="C530" s="3">
        <f>_xlfn.XLOOKUP(B530, 'Revenue Codes'!$A$2:$A$99, 'Revenue Codes'!$B$2:$B$99, "")</f>
        <v>0</v>
      </c>
    </row>
    <row r="531" spans="3:3">
      <c r="C531" s="3">
        <f>_xlfn.XLOOKUP(B531, 'Revenue Codes'!$A$2:$A$99, 'Revenue Codes'!$B$2:$B$99, "")</f>
        <v>0</v>
      </c>
    </row>
    <row r="532" spans="3:3">
      <c r="C532" s="3">
        <f>_xlfn.XLOOKUP(B532, 'Revenue Codes'!$A$2:$A$99, 'Revenue Codes'!$B$2:$B$99, "")</f>
        <v>0</v>
      </c>
    </row>
    <row r="533" spans="3:3">
      <c r="C533" s="3">
        <f>_xlfn.XLOOKUP(B533, 'Revenue Codes'!$A$2:$A$99, 'Revenue Codes'!$B$2:$B$99, "")</f>
        <v>0</v>
      </c>
    </row>
    <row r="534" spans="3:3">
      <c r="C534" s="3">
        <f>_xlfn.XLOOKUP(B534, 'Revenue Codes'!$A$2:$A$99, 'Revenue Codes'!$B$2:$B$99, "")</f>
        <v>0</v>
      </c>
    </row>
    <row r="535" spans="3:3">
      <c r="C535" s="3">
        <f>_xlfn.XLOOKUP(B535, 'Revenue Codes'!$A$2:$A$99, 'Revenue Codes'!$B$2:$B$99, "")</f>
        <v>0</v>
      </c>
    </row>
    <row r="536" spans="3:3">
      <c r="C536" s="3">
        <f>_xlfn.XLOOKUP(B536, 'Revenue Codes'!$A$2:$A$99, 'Revenue Codes'!$B$2:$B$99, "")</f>
        <v>0</v>
      </c>
    </row>
    <row r="537" spans="3:3">
      <c r="C537" s="3">
        <f>_xlfn.XLOOKUP(B537, 'Revenue Codes'!$A$2:$A$99, 'Revenue Codes'!$B$2:$B$99, "")</f>
        <v>0</v>
      </c>
    </row>
    <row r="538" spans="3:3">
      <c r="C538" s="3">
        <f>_xlfn.XLOOKUP(B538, 'Revenue Codes'!$A$2:$A$99, 'Revenue Codes'!$B$2:$B$99, "")</f>
        <v>0</v>
      </c>
    </row>
    <row r="539" spans="3:3">
      <c r="C539" s="3">
        <f>_xlfn.XLOOKUP(B539, 'Revenue Codes'!$A$2:$A$99, 'Revenue Codes'!$B$2:$B$99, "")</f>
        <v>0</v>
      </c>
    </row>
    <row r="540" spans="3:3">
      <c r="C540" s="3">
        <f>_xlfn.XLOOKUP(B540, 'Revenue Codes'!$A$2:$A$99, 'Revenue Codes'!$B$2:$B$99, "")</f>
        <v>0</v>
      </c>
    </row>
    <row r="541" spans="3:3">
      <c r="C541" s="3">
        <f>_xlfn.XLOOKUP(B541, 'Revenue Codes'!$A$2:$A$99, 'Revenue Codes'!$B$2:$B$99, "")</f>
        <v>0</v>
      </c>
    </row>
    <row r="542" spans="3:3">
      <c r="C542" s="3">
        <f>_xlfn.XLOOKUP(B542, 'Revenue Codes'!$A$2:$A$99, 'Revenue Codes'!$B$2:$B$99, "")</f>
        <v>0</v>
      </c>
    </row>
    <row r="543" spans="3:3">
      <c r="C543" s="3">
        <f>_xlfn.XLOOKUP(B543, 'Revenue Codes'!$A$2:$A$99, 'Revenue Codes'!$B$2:$B$99, "")</f>
        <v>0</v>
      </c>
    </row>
    <row r="544" spans="3:3">
      <c r="C544" s="3">
        <f>_xlfn.XLOOKUP(B544, 'Revenue Codes'!$A$2:$A$99, 'Revenue Codes'!$B$2:$B$99, "")</f>
        <v>0</v>
      </c>
    </row>
    <row r="545" spans="3:3">
      <c r="C545" s="3">
        <f>_xlfn.XLOOKUP(B545, 'Revenue Codes'!$A$2:$A$99, 'Revenue Codes'!$B$2:$B$99, "")</f>
        <v>0</v>
      </c>
    </row>
    <row r="546" spans="3:3">
      <c r="C546" s="3">
        <f>_xlfn.XLOOKUP(B546, 'Revenue Codes'!$A$2:$A$99, 'Revenue Codes'!$B$2:$B$99, "")</f>
        <v>0</v>
      </c>
    </row>
    <row r="547" spans="3:3">
      <c r="C547" s="3">
        <f>_xlfn.XLOOKUP(B547, 'Revenue Codes'!$A$2:$A$99, 'Revenue Codes'!$B$2:$B$99, "")</f>
        <v>0</v>
      </c>
    </row>
    <row r="548" spans="3:3">
      <c r="C548" s="3">
        <f>_xlfn.XLOOKUP(B548, 'Revenue Codes'!$A$2:$A$99, 'Revenue Codes'!$B$2:$B$99, "")</f>
        <v>0</v>
      </c>
    </row>
    <row r="549" spans="3:3">
      <c r="C549" s="3">
        <f>_xlfn.XLOOKUP(B549, 'Revenue Codes'!$A$2:$A$99, 'Revenue Codes'!$B$2:$B$99, "")</f>
        <v>0</v>
      </c>
    </row>
    <row r="550" spans="3:3">
      <c r="C550" s="3">
        <f>_xlfn.XLOOKUP(B550, 'Revenue Codes'!$A$2:$A$99, 'Revenue Codes'!$B$2:$B$99, "")</f>
        <v>0</v>
      </c>
    </row>
    <row r="551" spans="3:3">
      <c r="C551" s="3">
        <f>_xlfn.XLOOKUP(B551, 'Revenue Codes'!$A$2:$A$99, 'Revenue Codes'!$B$2:$B$99, "")</f>
        <v>0</v>
      </c>
    </row>
    <row r="552" spans="3:3">
      <c r="C552" s="3">
        <f>_xlfn.XLOOKUP(B552, 'Revenue Codes'!$A$2:$A$99, 'Revenue Codes'!$B$2:$B$99, "")</f>
        <v>0</v>
      </c>
    </row>
    <row r="553" spans="3:3">
      <c r="C553" s="3">
        <f>_xlfn.XLOOKUP(B553, 'Revenue Codes'!$A$2:$A$99, 'Revenue Codes'!$B$2:$B$99, "")</f>
        <v>0</v>
      </c>
    </row>
    <row r="554" spans="3:3">
      <c r="C554" s="3">
        <f>_xlfn.XLOOKUP(B554, 'Revenue Codes'!$A$2:$A$99, 'Revenue Codes'!$B$2:$B$99, "")</f>
        <v>0</v>
      </c>
    </row>
    <row r="555" spans="3:3">
      <c r="C555" s="3">
        <f>_xlfn.XLOOKUP(B555, 'Revenue Codes'!$A$2:$A$99, 'Revenue Codes'!$B$2:$B$99, "")</f>
        <v>0</v>
      </c>
    </row>
    <row r="556" spans="3:3">
      <c r="C556" s="3">
        <f>_xlfn.XLOOKUP(B556, 'Revenue Codes'!$A$2:$A$99, 'Revenue Codes'!$B$2:$B$99, "")</f>
        <v>0</v>
      </c>
    </row>
    <row r="557" spans="3:3">
      <c r="C557" s="3">
        <f>_xlfn.XLOOKUP(B557, 'Revenue Codes'!$A$2:$A$99, 'Revenue Codes'!$B$2:$B$99, "")</f>
        <v>0</v>
      </c>
    </row>
    <row r="558" spans="3:3">
      <c r="C558" s="3">
        <f>_xlfn.XLOOKUP(B558, 'Revenue Codes'!$A$2:$A$99, 'Revenue Codes'!$B$2:$B$99, "")</f>
        <v>0</v>
      </c>
    </row>
    <row r="559" spans="3:3">
      <c r="C559" s="3">
        <f>_xlfn.XLOOKUP(B559, 'Revenue Codes'!$A$2:$A$99, 'Revenue Codes'!$B$2:$B$99, "")</f>
        <v>0</v>
      </c>
    </row>
    <row r="560" spans="3:3">
      <c r="C560" s="3">
        <f>_xlfn.XLOOKUP(B560, 'Revenue Codes'!$A$2:$A$99, 'Revenue Codes'!$B$2:$B$99, "")</f>
        <v>0</v>
      </c>
    </row>
    <row r="561" spans="3:3">
      <c r="C561" s="3">
        <f>_xlfn.XLOOKUP(B561, 'Revenue Codes'!$A$2:$A$99, 'Revenue Codes'!$B$2:$B$99, "")</f>
        <v>0</v>
      </c>
    </row>
    <row r="562" spans="3:3">
      <c r="C562" s="3">
        <f>_xlfn.XLOOKUP(B562, 'Revenue Codes'!$A$2:$A$99, 'Revenue Codes'!$B$2:$B$99, "")</f>
        <v>0</v>
      </c>
    </row>
    <row r="563" spans="3:3">
      <c r="C563" s="3">
        <f>_xlfn.XLOOKUP(B563, 'Revenue Codes'!$A$2:$A$99, 'Revenue Codes'!$B$2:$B$99, "")</f>
        <v>0</v>
      </c>
    </row>
    <row r="564" spans="3:3">
      <c r="C564" s="3">
        <f>_xlfn.XLOOKUP(B564, 'Revenue Codes'!$A$2:$A$99, 'Revenue Codes'!$B$2:$B$99, "")</f>
        <v>0</v>
      </c>
    </row>
    <row r="565" spans="3:3">
      <c r="C565" s="3">
        <f>_xlfn.XLOOKUP(B565, 'Revenue Codes'!$A$2:$A$99, 'Revenue Codes'!$B$2:$B$99, "")</f>
        <v>0</v>
      </c>
    </row>
    <row r="566" spans="3:3">
      <c r="C566" s="3">
        <f>_xlfn.XLOOKUP(B566, 'Revenue Codes'!$A$2:$A$99, 'Revenue Codes'!$B$2:$B$99, "")</f>
        <v>0</v>
      </c>
    </row>
    <row r="567" spans="3:3">
      <c r="C567" s="3">
        <f>_xlfn.XLOOKUP(B567, 'Revenue Codes'!$A$2:$A$99, 'Revenue Codes'!$B$2:$B$99, "")</f>
        <v>0</v>
      </c>
    </row>
    <row r="568" spans="3:3">
      <c r="C568" s="3">
        <f>_xlfn.XLOOKUP(B568, 'Revenue Codes'!$A$2:$A$99, 'Revenue Codes'!$B$2:$B$99, "")</f>
        <v>0</v>
      </c>
    </row>
    <row r="569" spans="3:3">
      <c r="C569" s="3">
        <f>_xlfn.XLOOKUP(B569, 'Revenue Codes'!$A$2:$A$99, 'Revenue Codes'!$B$2:$B$99, "")</f>
        <v>0</v>
      </c>
    </row>
    <row r="570" spans="3:3">
      <c r="C570" s="3">
        <f>_xlfn.XLOOKUP(B570, 'Revenue Codes'!$A$2:$A$99, 'Revenue Codes'!$B$2:$B$99, "")</f>
        <v>0</v>
      </c>
    </row>
    <row r="571" spans="3:3">
      <c r="C571" s="3">
        <f>_xlfn.XLOOKUP(B571, 'Revenue Codes'!$A$2:$A$99, 'Revenue Codes'!$B$2:$B$99, "")</f>
        <v>0</v>
      </c>
    </row>
    <row r="572" spans="3:3">
      <c r="C572" s="3">
        <f>_xlfn.XLOOKUP(B572, 'Revenue Codes'!$A$2:$A$99, 'Revenue Codes'!$B$2:$B$99, "")</f>
        <v>0</v>
      </c>
    </row>
    <row r="573" spans="3:3">
      <c r="C573" s="3">
        <f>_xlfn.XLOOKUP(B573, 'Revenue Codes'!$A$2:$A$99, 'Revenue Codes'!$B$2:$B$99, "")</f>
        <v>0</v>
      </c>
    </row>
    <row r="574" spans="3:3">
      <c r="C574" s="3">
        <f>_xlfn.XLOOKUP(B574, 'Revenue Codes'!$A$2:$A$99, 'Revenue Codes'!$B$2:$B$99, "")</f>
        <v>0</v>
      </c>
    </row>
    <row r="575" spans="3:3">
      <c r="C575" s="3">
        <f>_xlfn.XLOOKUP(B575, 'Revenue Codes'!$A$2:$A$99, 'Revenue Codes'!$B$2:$B$99, "")</f>
        <v>0</v>
      </c>
    </row>
    <row r="576" spans="3:3">
      <c r="C576" s="3">
        <f>_xlfn.XLOOKUP(B576, 'Revenue Codes'!$A$2:$A$99, 'Revenue Codes'!$B$2:$B$99, "")</f>
        <v>0</v>
      </c>
    </row>
    <row r="577" spans="3:3">
      <c r="C577" s="3">
        <f>_xlfn.XLOOKUP(B577, 'Revenue Codes'!$A$2:$A$99, 'Revenue Codes'!$B$2:$B$99, "")</f>
        <v>0</v>
      </c>
    </row>
    <row r="578" spans="3:3">
      <c r="C578" s="3">
        <f>_xlfn.XLOOKUP(B578, 'Revenue Codes'!$A$2:$A$99, 'Revenue Codes'!$B$2:$B$99, "")</f>
        <v>0</v>
      </c>
    </row>
    <row r="579" spans="3:3">
      <c r="C579" s="3">
        <f>_xlfn.XLOOKUP(B579, 'Revenue Codes'!$A$2:$A$99, 'Revenue Codes'!$B$2:$B$99, "")</f>
        <v>0</v>
      </c>
    </row>
    <row r="580" spans="3:3">
      <c r="C580" s="3">
        <f>_xlfn.XLOOKUP(B580, 'Revenue Codes'!$A$2:$A$99, 'Revenue Codes'!$B$2:$B$99, "")</f>
        <v>0</v>
      </c>
    </row>
    <row r="581" spans="3:3">
      <c r="C581" s="3">
        <f>_xlfn.XLOOKUP(B581, 'Revenue Codes'!$A$2:$A$99, 'Revenue Codes'!$B$2:$B$99, "")</f>
        <v>0</v>
      </c>
    </row>
    <row r="582" spans="3:3">
      <c r="C582" s="3">
        <f>_xlfn.XLOOKUP(B582, 'Revenue Codes'!$A$2:$A$99, 'Revenue Codes'!$B$2:$B$99, "")</f>
        <v>0</v>
      </c>
    </row>
    <row r="583" spans="3:3">
      <c r="C583" s="3">
        <f>_xlfn.XLOOKUP(B583, 'Revenue Codes'!$A$2:$A$99, 'Revenue Codes'!$B$2:$B$99, "")</f>
        <v>0</v>
      </c>
    </row>
    <row r="584" spans="3:3">
      <c r="C584" s="3">
        <f>_xlfn.XLOOKUP(B584, 'Revenue Codes'!$A$2:$A$99, 'Revenue Codes'!$B$2:$B$99, "")</f>
        <v>0</v>
      </c>
    </row>
    <row r="585" spans="3:3">
      <c r="C585" s="3">
        <f>_xlfn.XLOOKUP(B585, 'Revenue Codes'!$A$2:$A$99, 'Revenue Codes'!$B$2:$B$99, "")</f>
        <v>0</v>
      </c>
    </row>
    <row r="586" spans="3:3">
      <c r="C586" s="3">
        <f>_xlfn.XLOOKUP(B586, 'Revenue Codes'!$A$2:$A$99, 'Revenue Codes'!$B$2:$B$99, "")</f>
        <v>0</v>
      </c>
    </row>
    <row r="587" spans="3:3">
      <c r="C587" s="3">
        <f>_xlfn.XLOOKUP(B587, 'Revenue Codes'!$A$2:$A$99, 'Revenue Codes'!$B$2:$B$99, "")</f>
        <v>0</v>
      </c>
    </row>
    <row r="588" spans="3:3">
      <c r="C588" s="3">
        <f>_xlfn.XLOOKUP(B588, 'Revenue Codes'!$A$2:$A$99, 'Revenue Codes'!$B$2:$B$99, "")</f>
        <v>0</v>
      </c>
    </row>
    <row r="589" spans="3:3">
      <c r="C589" s="3">
        <f>_xlfn.XLOOKUP(B589, 'Revenue Codes'!$A$2:$A$99, 'Revenue Codes'!$B$2:$B$99, "")</f>
        <v>0</v>
      </c>
    </row>
    <row r="590" spans="3:3">
      <c r="C590" s="3">
        <f>_xlfn.XLOOKUP(B590, 'Revenue Codes'!$A$2:$A$99, 'Revenue Codes'!$B$2:$B$99, "")</f>
        <v>0</v>
      </c>
    </row>
    <row r="591" spans="3:3">
      <c r="C591" s="3">
        <f>_xlfn.XLOOKUP(B591, 'Revenue Codes'!$A$2:$A$99, 'Revenue Codes'!$B$2:$B$99, "")</f>
        <v>0</v>
      </c>
    </row>
    <row r="592" spans="3:3">
      <c r="C592" s="3">
        <f>_xlfn.XLOOKUP(B592, 'Revenue Codes'!$A$2:$A$99, 'Revenue Codes'!$B$2:$B$99, "")</f>
        <v>0</v>
      </c>
    </row>
  </sheetData>
  <protectedRanges>
    <protectedRange sqref="A1:B1048576" name="First Columns Estimates"/>
    <protectedRange sqref="D1:O1048576" name="Estimate Values"/>
  </protectedRanges>
  <autoFilter ref="A1:P592" xr:uid="{00000000-0001-0000-0000-000000000000}"/>
  <mergeCells count="1">
    <mergeCell ref="S2:S1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F5B958E-71D8-4877-8E59-A47C16C18D45}">
          <x14:formula1>
            <xm:f>'Revenue Codes'!$A$1:$A$99</xm:f>
          </x14:formula1>
          <xm:sqref>B2:B592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246A-EFF4-46C5-ADC8-78AA1F1808D8}">
  <dimension ref="A1:R2500"/>
  <sheetViews>
    <sheetView tabSelected="1" workbookViewId="0">
      <pane ySplit="1" topLeftCell="A2464" activePane="bottomLeft" state="frozen"/>
      <selection pane="bottomLeft" activeCell="F2484" sqref="F2484"/>
    </sheetView>
  </sheetViews>
  <sheetFormatPr defaultColWidth="8.85546875" defaultRowHeight="15"/>
  <cols>
    <col min="1" max="1" width="14.7109375" style="4" customWidth="1"/>
    <col min="2" max="2" width="13" customWidth="1"/>
    <col min="3" max="3" width="19.28515625" customWidth="1"/>
    <col min="4" max="4" width="19.28515625" style="21" customWidth="1"/>
    <col min="5" max="5" width="18.28515625" style="21" customWidth="1"/>
    <col min="6" max="6" width="20.42578125" style="21" customWidth="1"/>
    <col min="7" max="7" width="18" style="21" customWidth="1"/>
    <col min="8" max="8" width="18.42578125" style="21" customWidth="1"/>
    <col min="9" max="9" width="19.85546875" style="21" bestFit="1" customWidth="1"/>
    <col min="10" max="10" width="19.140625" style="21" bestFit="1" customWidth="1"/>
    <col min="11" max="11" width="21.85546875" style="21" bestFit="1" customWidth="1"/>
    <col min="12" max="12" width="21.42578125" style="21" bestFit="1" customWidth="1"/>
    <col min="13" max="13" width="20.42578125" style="21" customWidth="1"/>
    <col min="14" max="14" width="19.140625" bestFit="1" customWidth="1"/>
    <col min="18" max="18" width="73.140625" customWidth="1"/>
  </cols>
  <sheetData>
    <row r="1" spans="1:18">
      <c r="A1" s="4" t="s">
        <v>59</v>
      </c>
      <c r="B1" t="s">
        <v>60</v>
      </c>
      <c r="C1" t="s">
        <v>61</v>
      </c>
      <c r="D1" s="21" t="s">
        <v>62</v>
      </c>
      <c r="E1" s="21" t="s">
        <v>63</v>
      </c>
      <c r="F1" s="21" t="s">
        <v>64</v>
      </c>
      <c r="G1" s="21" t="s">
        <v>65</v>
      </c>
      <c r="H1" s="21" t="s">
        <v>66</v>
      </c>
      <c r="I1" s="21" t="s">
        <v>67</v>
      </c>
      <c r="J1" s="21" t="s">
        <v>15</v>
      </c>
      <c r="K1" s="21" t="s">
        <v>68</v>
      </c>
      <c r="L1" s="21" t="s">
        <v>69</v>
      </c>
      <c r="M1" s="21" t="s">
        <v>70</v>
      </c>
      <c r="N1" t="s">
        <v>71</v>
      </c>
      <c r="R1" s="16" t="s">
        <v>16</v>
      </c>
    </row>
    <row r="2" spans="1:18">
      <c r="A2" s="4">
        <v>43831</v>
      </c>
      <c r="R2" s="79" t="s">
        <v>72</v>
      </c>
    </row>
    <row r="3" spans="1:18">
      <c r="A3" s="4">
        <v>43832</v>
      </c>
      <c r="R3" s="80"/>
    </row>
    <row r="4" spans="1:18">
      <c r="A4" s="4">
        <v>43833</v>
      </c>
      <c r="R4" s="80"/>
    </row>
    <row r="5" spans="1:18">
      <c r="A5" s="4">
        <v>43834</v>
      </c>
      <c r="R5" s="80"/>
    </row>
    <row r="6" spans="1:18">
      <c r="A6" s="4">
        <v>43835</v>
      </c>
      <c r="R6" s="80"/>
    </row>
    <row r="7" spans="1:18">
      <c r="A7" s="4">
        <v>43836</v>
      </c>
      <c r="R7" s="80"/>
    </row>
    <row r="8" spans="1:18">
      <c r="A8" s="4">
        <v>43837</v>
      </c>
      <c r="R8" s="80"/>
    </row>
    <row r="9" spans="1:18">
      <c r="A9" s="4">
        <v>43838</v>
      </c>
      <c r="R9" s="80"/>
    </row>
    <row r="10" spans="1:18">
      <c r="A10" s="4">
        <v>43839</v>
      </c>
      <c r="R10" s="80"/>
    </row>
    <row r="11" spans="1:18">
      <c r="A11" s="4">
        <v>43840</v>
      </c>
      <c r="R11" s="81"/>
    </row>
    <row r="12" spans="1:18">
      <c r="A12" s="4">
        <v>43841</v>
      </c>
    </row>
    <row r="13" spans="1:18">
      <c r="A13" s="4">
        <v>43842</v>
      </c>
    </row>
    <row r="14" spans="1:18">
      <c r="A14" s="4">
        <v>43843</v>
      </c>
    </row>
    <row r="15" spans="1:18">
      <c r="A15" s="4">
        <v>43844</v>
      </c>
    </row>
    <row r="16" spans="1:18">
      <c r="A16" s="4">
        <v>43845</v>
      </c>
    </row>
    <row r="17" spans="1:1">
      <c r="A17" s="4">
        <v>43846</v>
      </c>
    </row>
    <row r="18" spans="1:1">
      <c r="A18" s="4">
        <v>43847</v>
      </c>
    </row>
    <row r="19" spans="1:1">
      <c r="A19" s="4">
        <v>43848</v>
      </c>
    </row>
    <row r="20" spans="1:1">
      <c r="A20" s="4">
        <v>43849</v>
      </c>
    </row>
    <row r="21" spans="1:1">
      <c r="A21" s="4">
        <v>43850</v>
      </c>
    </row>
    <row r="22" spans="1:1">
      <c r="A22" s="4">
        <v>43851</v>
      </c>
    </row>
    <row r="23" spans="1:1">
      <c r="A23" s="4">
        <v>43852</v>
      </c>
    </row>
    <row r="24" spans="1:1">
      <c r="A24" s="4">
        <v>43853</v>
      </c>
    </row>
    <row r="25" spans="1:1">
      <c r="A25" s="4">
        <v>43854</v>
      </c>
    </row>
    <row r="26" spans="1:1">
      <c r="A26" s="4">
        <v>43855</v>
      </c>
    </row>
    <row r="27" spans="1:1">
      <c r="A27" s="4">
        <v>43856</v>
      </c>
    </row>
    <row r="28" spans="1:1">
      <c r="A28" s="4">
        <v>43857</v>
      </c>
    </row>
    <row r="29" spans="1:1">
      <c r="A29" s="4">
        <v>43858</v>
      </c>
    </row>
    <row r="30" spans="1:1">
      <c r="A30" s="4">
        <v>43859</v>
      </c>
    </row>
    <row r="31" spans="1:1">
      <c r="A31" s="4">
        <v>43860</v>
      </c>
    </row>
    <row r="32" spans="1:1">
      <c r="A32" s="4">
        <v>43861</v>
      </c>
    </row>
    <row r="33" spans="1:1">
      <c r="A33" s="4">
        <v>43862</v>
      </c>
    </row>
    <row r="34" spans="1:1">
      <c r="A34" s="4">
        <v>43863</v>
      </c>
    </row>
    <row r="35" spans="1:1">
      <c r="A35" s="4">
        <v>43864</v>
      </c>
    </row>
    <row r="36" spans="1:1">
      <c r="A36" s="4">
        <v>43865</v>
      </c>
    </row>
    <row r="37" spans="1:1">
      <c r="A37" s="4">
        <v>43866</v>
      </c>
    </row>
    <row r="38" spans="1:1">
      <c r="A38" s="4">
        <v>43867</v>
      </c>
    </row>
    <row r="39" spans="1:1">
      <c r="A39" s="4">
        <v>43868</v>
      </c>
    </row>
    <row r="40" spans="1:1">
      <c r="A40" s="4">
        <v>43869</v>
      </c>
    </row>
    <row r="41" spans="1:1">
      <c r="A41" s="4">
        <v>43870</v>
      </c>
    </row>
    <row r="42" spans="1:1">
      <c r="A42" s="4">
        <v>43871</v>
      </c>
    </row>
    <row r="43" spans="1:1">
      <c r="A43" s="4">
        <v>43872</v>
      </c>
    </row>
    <row r="44" spans="1:1">
      <c r="A44" s="4">
        <v>43873</v>
      </c>
    </row>
    <row r="45" spans="1:1">
      <c r="A45" s="4">
        <v>43874</v>
      </c>
    </row>
    <row r="46" spans="1:1">
      <c r="A46" s="4">
        <v>43875</v>
      </c>
    </row>
    <row r="47" spans="1:1">
      <c r="A47" s="4">
        <v>43876</v>
      </c>
    </row>
    <row r="48" spans="1:1">
      <c r="A48" s="4">
        <v>43877</v>
      </c>
    </row>
    <row r="49" spans="1:1">
      <c r="A49" s="4">
        <v>43878</v>
      </c>
    </row>
    <row r="50" spans="1:1">
      <c r="A50" s="4">
        <v>43879</v>
      </c>
    </row>
    <row r="51" spans="1:1">
      <c r="A51" s="4">
        <v>43880</v>
      </c>
    </row>
    <row r="52" spans="1:1">
      <c r="A52" s="4">
        <v>43881</v>
      </c>
    </row>
    <row r="53" spans="1:1">
      <c r="A53" s="4">
        <v>43882</v>
      </c>
    </row>
    <row r="54" spans="1:1">
      <c r="A54" s="4">
        <v>43883</v>
      </c>
    </row>
    <row r="55" spans="1:1">
      <c r="A55" s="4">
        <v>43884</v>
      </c>
    </row>
    <row r="56" spans="1:1">
      <c r="A56" s="4">
        <v>43885</v>
      </c>
    </row>
    <row r="57" spans="1:1">
      <c r="A57" s="4">
        <v>43886</v>
      </c>
    </row>
    <row r="58" spans="1:1">
      <c r="A58" s="4">
        <v>43887</v>
      </c>
    </row>
    <row r="59" spans="1:1">
      <c r="A59" s="4">
        <v>43888</v>
      </c>
    </row>
    <row r="60" spans="1:1">
      <c r="A60" s="4">
        <v>43889</v>
      </c>
    </row>
    <row r="61" spans="1:1">
      <c r="A61" s="4">
        <v>43890</v>
      </c>
    </row>
    <row r="62" spans="1:1">
      <c r="A62" s="4">
        <v>43891</v>
      </c>
    </row>
    <row r="63" spans="1:1">
      <c r="A63" s="4">
        <v>43892</v>
      </c>
    </row>
    <row r="64" spans="1:1">
      <c r="A64" s="4">
        <v>43893</v>
      </c>
    </row>
    <row r="65" spans="1:1">
      <c r="A65" s="4">
        <v>43894</v>
      </c>
    </row>
    <row r="66" spans="1:1">
      <c r="A66" s="4">
        <v>43895</v>
      </c>
    </row>
    <row r="67" spans="1:1">
      <c r="A67" s="4">
        <v>43896</v>
      </c>
    </row>
    <row r="68" spans="1:1">
      <c r="A68" s="4">
        <v>43897</v>
      </c>
    </row>
    <row r="69" spans="1:1">
      <c r="A69" s="4">
        <v>43898</v>
      </c>
    </row>
    <row r="70" spans="1:1">
      <c r="A70" s="4">
        <v>43899</v>
      </c>
    </row>
    <row r="71" spans="1:1">
      <c r="A71" s="4">
        <v>43900</v>
      </c>
    </row>
    <row r="72" spans="1:1">
      <c r="A72" s="4">
        <v>43901</v>
      </c>
    </row>
    <row r="73" spans="1:1">
      <c r="A73" s="4">
        <v>43902</v>
      </c>
    </row>
    <row r="74" spans="1:1">
      <c r="A74" s="4">
        <v>43903</v>
      </c>
    </row>
    <row r="75" spans="1:1">
      <c r="A75" s="4">
        <v>43904</v>
      </c>
    </row>
    <row r="76" spans="1:1">
      <c r="A76" s="4">
        <v>43905</v>
      </c>
    </row>
    <row r="77" spans="1:1">
      <c r="A77" s="4">
        <v>43906</v>
      </c>
    </row>
    <row r="78" spans="1:1">
      <c r="A78" s="4">
        <v>43907</v>
      </c>
    </row>
    <row r="79" spans="1:1">
      <c r="A79" s="4">
        <v>43908</v>
      </c>
    </row>
    <row r="80" spans="1:1">
      <c r="A80" s="4">
        <v>43909</v>
      </c>
    </row>
    <row r="81" spans="1:1">
      <c r="A81" s="4">
        <v>43910</v>
      </c>
    </row>
    <row r="82" spans="1:1">
      <c r="A82" s="4">
        <v>43911</v>
      </c>
    </row>
    <row r="83" spans="1:1">
      <c r="A83" s="4">
        <v>43912</v>
      </c>
    </row>
    <row r="84" spans="1:1">
      <c r="A84" s="4">
        <v>43913</v>
      </c>
    </row>
    <row r="85" spans="1:1">
      <c r="A85" s="4">
        <v>43914</v>
      </c>
    </row>
    <row r="86" spans="1:1">
      <c r="A86" s="4">
        <v>43915</v>
      </c>
    </row>
    <row r="87" spans="1:1">
      <c r="A87" s="4">
        <v>43916</v>
      </c>
    </row>
    <row r="88" spans="1:1">
      <c r="A88" s="4">
        <v>43917</v>
      </c>
    </row>
    <row r="89" spans="1:1">
      <c r="A89" s="4">
        <v>43918</v>
      </c>
    </row>
    <row r="90" spans="1:1">
      <c r="A90" s="4">
        <v>43919</v>
      </c>
    </row>
    <row r="91" spans="1:1">
      <c r="A91" s="4">
        <v>43920</v>
      </c>
    </row>
    <row r="92" spans="1:1">
      <c r="A92" s="4">
        <v>43921</v>
      </c>
    </row>
    <row r="93" spans="1:1">
      <c r="A93" s="4">
        <v>43922</v>
      </c>
    </row>
    <row r="94" spans="1:1">
      <c r="A94" s="4">
        <v>43923</v>
      </c>
    </row>
    <row r="95" spans="1:1">
      <c r="A95" s="4">
        <v>43924</v>
      </c>
    </row>
    <row r="96" spans="1:1">
      <c r="A96" s="4">
        <v>43925</v>
      </c>
    </row>
    <row r="97" spans="1:1">
      <c r="A97" s="4">
        <v>43926</v>
      </c>
    </row>
    <row r="98" spans="1:1">
      <c r="A98" s="4">
        <v>43927</v>
      </c>
    </row>
    <row r="99" spans="1:1">
      <c r="A99" s="4">
        <v>43928</v>
      </c>
    </row>
    <row r="100" spans="1:1">
      <c r="A100" s="4">
        <v>43929</v>
      </c>
    </row>
    <row r="101" spans="1:1">
      <c r="A101" s="4">
        <v>43930</v>
      </c>
    </row>
    <row r="102" spans="1:1">
      <c r="A102" s="4">
        <v>43931</v>
      </c>
    </row>
    <row r="103" spans="1:1">
      <c r="A103" s="4">
        <v>43932</v>
      </c>
    </row>
    <row r="104" spans="1:1">
      <c r="A104" s="4">
        <v>43933</v>
      </c>
    </row>
    <row r="105" spans="1:1">
      <c r="A105" s="4">
        <v>43934</v>
      </c>
    </row>
    <row r="106" spans="1:1">
      <c r="A106" s="4">
        <v>43935</v>
      </c>
    </row>
    <row r="107" spans="1:1">
      <c r="A107" s="4">
        <v>43936</v>
      </c>
    </row>
    <row r="108" spans="1:1">
      <c r="A108" s="4">
        <v>43937</v>
      </c>
    </row>
    <row r="109" spans="1:1">
      <c r="A109" s="4">
        <v>43938</v>
      </c>
    </row>
    <row r="110" spans="1:1">
      <c r="A110" s="4">
        <v>43939</v>
      </c>
    </row>
    <row r="111" spans="1:1">
      <c r="A111" s="4">
        <v>43940</v>
      </c>
    </row>
    <row r="112" spans="1:1">
      <c r="A112" s="4">
        <v>43941</v>
      </c>
    </row>
    <row r="113" spans="1:1">
      <c r="A113" s="4">
        <v>43942</v>
      </c>
    </row>
    <row r="114" spans="1:1">
      <c r="A114" s="4">
        <v>43943</v>
      </c>
    </row>
    <row r="115" spans="1:1">
      <c r="A115" s="4">
        <v>43944</v>
      </c>
    </row>
    <row r="116" spans="1:1">
      <c r="A116" s="4">
        <v>43945</v>
      </c>
    </row>
    <row r="117" spans="1:1">
      <c r="A117" s="4">
        <v>43946</v>
      </c>
    </row>
    <row r="118" spans="1:1">
      <c r="A118" s="4">
        <v>43947</v>
      </c>
    </row>
    <row r="119" spans="1:1">
      <c r="A119" s="4">
        <v>43948</v>
      </c>
    </row>
    <row r="120" spans="1:1">
      <c r="A120" s="4">
        <v>43949</v>
      </c>
    </row>
    <row r="121" spans="1:1">
      <c r="A121" s="4">
        <v>43950</v>
      </c>
    </row>
    <row r="122" spans="1:1">
      <c r="A122" s="4">
        <v>43951</v>
      </c>
    </row>
    <row r="123" spans="1:1">
      <c r="A123" s="4">
        <v>43952</v>
      </c>
    </row>
    <row r="124" spans="1:1">
      <c r="A124" s="4">
        <v>43953</v>
      </c>
    </row>
    <row r="125" spans="1:1">
      <c r="A125" s="4">
        <v>43954</v>
      </c>
    </row>
    <row r="126" spans="1:1">
      <c r="A126" s="4">
        <v>43955</v>
      </c>
    </row>
    <row r="127" spans="1:1">
      <c r="A127" s="4">
        <v>43956</v>
      </c>
    </row>
    <row r="128" spans="1:1">
      <c r="A128" s="4">
        <v>43957</v>
      </c>
    </row>
    <row r="129" spans="1:1">
      <c r="A129" s="4">
        <v>43958</v>
      </c>
    </row>
    <row r="130" spans="1:1">
      <c r="A130" s="4">
        <v>43959</v>
      </c>
    </row>
    <row r="131" spans="1:1">
      <c r="A131" s="4">
        <v>43960</v>
      </c>
    </row>
    <row r="132" spans="1:1">
      <c r="A132" s="4">
        <v>43961</v>
      </c>
    </row>
    <row r="133" spans="1:1">
      <c r="A133" s="4">
        <v>43962</v>
      </c>
    </row>
    <row r="134" spans="1:1">
      <c r="A134" s="4">
        <v>43963</v>
      </c>
    </row>
    <row r="135" spans="1:1">
      <c r="A135" s="4">
        <v>43964</v>
      </c>
    </row>
    <row r="136" spans="1:1">
      <c r="A136" s="4">
        <v>43965</v>
      </c>
    </row>
    <row r="137" spans="1:1">
      <c r="A137" s="4">
        <v>43966</v>
      </c>
    </row>
    <row r="138" spans="1:1">
      <c r="A138" s="4">
        <v>43967</v>
      </c>
    </row>
    <row r="139" spans="1:1">
      <c r="A139" s="4">
        <v>43968</v>
      </c>
    </row>
    <row r="140" spans="1:1">
      <c r="A140" s="4">
        <v>43969</v>
      </c>
    </row>
    <row r="141" spans="1:1">
      <c r="A141" s="4">
        <v>43970</v>
      </c>
    </row>
    <row r="142" spans="1:1">
      <c r="A142" s="4">
        <v>43971</v>
      </c>
    </row>
    <row r="143" spans="1:1">
      <c r="A143" s="4">
        <v>43972</v>
      </c>
    </row>
    <row r="144" spans="1:1">
      <c r="A144" s="4">
        <v>43973</v>
      </c>
    </row>
    <row r="145" spans="1:1">
      <c r="A145" s="4">
        <v>43974</v>
      </c>
    </row>
    <row r="146" spans="1:1">
      <c r="A146" s="4">
        <v>43975</v>
      </c>
    </row>
    <row r="147" spans="1:1">
      <c r="A147" s="4">
        <v>43976</v>
      </c>
    </row>
    <row r="148" spans="1:1">
      <c r="A148" s="4">
        <v>43977</v>
      </c>
    </row>
    <row r="149" spans="1:1">
      <c r="A149" s="4">
        <v>43978</v>
      </c>
    </row>
    <row r="150" spans="1:1">
      <c r="A150" s="4">
        <v>43979</v>
      </c>
    </row>
    <row r="151" spans="1:1">
      <c r="A151" s="4">
        <v>43980</v>
      </c>
    </row>
    <row r="152" spans="1:1">
      <c r="A152" s="4">
        <v>43981</v>
      </c>
    </row>
    <row r="153" spans="1:1">
      <c r="A153" s="4">
        <v>43982</v>
      </c>
    </row>
    <row r="154" spans="1:1">
      <c r="A154" s="4">
        <v>43983</v>
      </c>
    </row>
    <row r="155" spans="1:1">
      <c r="A155" s="4">
        <v>43984</v>
      </c>
    </row>
    <row r="156" spans="1:1">
      <c r="A156" s="4">
        <v>43985</v>
      </c>
    </row>
    <row r="157" spans="1:1">
      <c r="A157" s="4">
        <v>43986</v>
      </c>
    </row>
    <row r="158" spans="1:1">
      <c r="A158" s="4">
        <v>43987</v>
      </c>
    </row>
    <row r="159" spans="1:1">
      <c r="A159" s="4">
        <v>43988</v>
      </c>
    </row>
    <row r="160" spans="1:1">
      <c r="A160" s="4">
        <v>43989</v>
      </c>
    </row>
    <row r="161" spans="1:1">
      <c r="A161" s="4">
        <v>43990</v>
      </c>
    </row>
    <row r="162" spans="1:1">
      <c r="A162" s="4">
        <v>43991</v>
      </c>
    </row>
    <row r="163" spans="1:1">
      <c r="A163" s="4">
        <v>43992</v>
      </c>
    </row>
    <row r="164" spans="1:1">
      <c r="A164" s="4">
        <v>43993</v>
      </c>
    </row>
    <row r="165" spans="1:1">
      <c r="A165" s="4">
        <v>43994</v>
      </c>
    </row>
    <row r="166" spans="1:1">
      <c r="A166" s="4">
        <v>43995</v>
      </c>
    </row>
    <row r="167" spans="1:1">
      <c r="A167" s="4">
        <v>43996</v>
      </c>
    </row>
    <row r="168" spans="1:1">
      <c r="A168" s="4">
        <v>43997</v>
      </c>
    </row>
    <row r="169" spans="1:1">
      <c r="A169" s="4">
        <v>43998</v>
      </c>
    </row>
    <row r="170" spans="1:1">
      <c r="A170" s="4">
        <v>43999</v>
      </c>
    </row>
    <row r="171" spans="1:1">
      <c r="A171" s="4">
        <v>44000</v>
      </c>
    </row>
    <row r="172" spans="1:1">
      <c r="A172" s="4">
        <v>44001</v>
      </c>
    </row>
    <row r="173" spans="1:1">
      <c r="A173" s="4">
        <v>44002</v>
      </c>
    </row>
    <row r="174" spans="1:1">
      <c r="A174" s="4">
        <v>44003</v>
      </c>
    </row>
    <row r="175" spans="1:1">
      <c r="A175" s="4">
        <v>44004</v>
      </c>
    </row>
    <row r="176" spans="1:1">
      <c r="A176" s="4">
        <v>44005</v>
      </c>
    </row>
    <row r="177" spans="1:1">
      <c r="A177" s="4">
        <v>44006</v>
      </c>
    </row>
    <row r="178" spans="1:1">
      <c r="A178" s="4">
        <v>44007</v>
      </c>
    </row>
    <row r="179" spans="1:1">
      <c r="A179" s="4">
        <v>44008</v>
      </c>
    </row>
    <row r="180" spans="1:1">
      <c r="A180" s="4">
        <v>44009</v>
      </c>
    </row>
    <row r="181" spans="1:1">
      <c r="A181" s="4">
        <v>44010</v>
      </c>
    </row>
    <row r="182" spans="1:1">
      <c r="A182" s="4">
        <v>44011</v>
      </c>
    </row>
    <row r="183" spans="1:1">
      <c r="A183" s="4">
        <v>44012</v>
      </c>
    </row>
    <row r="184" spans="1:1">
      <c r="A184" s="4">
        <v>44013</v>
      </c>
    </row>
    <row r="185" spans="1:1">
      <c r="A185" s="4">
        <v>44014</v>
      </c>
    </row>
    <row r="186" spans="1:1">
      <c r="A186" s="4">
        <v>44015</v>
      </c>
    </row>
    <row r="187" spans="1:1">
      <c r="A187" s="4">
        <v>44016</v>
      </c>
    </row>
    <row r="188" spans="1:1">
      <c r="A188" s="4">
        <v>44017</v>
      </c>
    </row>
    <row r="189" spans="1:1">
      <c r="A189" s="4">
        <v>44018</v>
      </c>
    </row>
    <row r="190" spans="1:1">
      <c r="A190" s="4">
        <v>44019</v>
      </c>
    </row>
    <row r="191" spans="1:1">
      <c r="A191" s="4">
        <v>44020</v>
      </c>
    </row>
    <row r="192" spans="1:1">
      <c r="A192" s="4">
        <v>44021</v>
      </c>
    </row>
    <row r="193" spans="1:1">
      <c r="A193" s="4">
        <v>44022</v>
      </c>
    </row>
    <row r="194" spans="1:1">
      <c r="A194" s="4">
        <v>44023</v>
      </c>
    </row>
    <row r="195" spans="1:1">
      <c r="A195" s="4">
        <v>44024</v>
      </c>
    </row>
    <row r="196" spans="1:1">
      <c r="A196" s="4">
        <v>44025</v>
      </c>
    </row>
    <row r="197" spans="1:1">
      <c r="A197" s="4">
        <v>44026</v>
      </c>
    </row>
    <row r="198" spans="1:1">
      <c r="A198" s="4">
        <v>44027</v>
      </c>
    </row>
    <row r="199" spans="1:1">
      <c r="A199" s="4">
        <v>44028</v>
      </c>
    </row>
    <row r="200" spans="1:1">
      <c r="A200" s="4">
        <v>44029</v>
      </c>
    </row>
    <row r="201" spans="1:1">
      <c r="A201" s="4">
        <v>44030</v>
      </c>
    </row>
    <row r="202" spans="1:1">
      <c r="A202" s="4">
        <v>44031</v>
      </c>
    </row>
    <row r="203" spans="1:1">
      <c r="A203" s="4">
        <v>44032</v>
      </c>
    </row>
    <row r="204" spans="1:1">
      <c r="A204" s="4">
        <v>44033</v>
      </c>
    </row>
    <row r="205" spans="1:1">
      <c r="A205" s="4">
        <v>44034</v>
      </c>
    </row>
    <row r="206" spans="1:1">
      <c r="A206" s="4">
        <v>44035</v>
      </c>
    </row>
    <row r="207" spans="1:1">
      <c r="A207" s="4">
        <v>44036</v>
      </c>
    </row>
    <row r="208" spans="1:1">
      <c r="A208" s="4">
        <v>44037</v>
      </c>
    </row>
    <row r="209" spans="1:1">
      <c r="A209" s="4">
        <v>44038</v>
      </c>
    </row>
    <row r="210" spans="1:1">
      <c r="A210" s="4">
        <v>44039</v>
      </c>
    </row>
    <row r="211" spans="1:1">
      <c r="A211" s="4">
        <v>44040</v>
      </c>
    </row>
    <row r="212" spans="1:1">
      <c r="A212" s="4">
        <v>44041</v>
      </c>
    </row>
    <row r="213" spans="1:1">
      <c r="A213" s="4">
        <v>44042</v>
      </c>
    </row>
    <row r="214" spans="1:1">
      <c r="A214" s="4">
        <v>44043</v>
      </c>
    </row>
    <row r="215" spans="1:1">
      <c r="A215" s="4">
        <v>44044</v>
      </c>
    </row>
    <row r="216" spans="1:1">
      <c r="A216" s="4">
        <v>44045</v>
      </c>
    </row>
    <row r="217" spans="1:1">
      <c r="A217" s="4">
        <v>44046</v>
      </c>
    </row>
    <row r="218" spans="1:1">
      <c r="A218" s="4">
        <v>44047</v>
      </c>
    </row>
    <row r="219" spans="1:1">
      <c r="A219" s="4">
        <v>44048</v>
      </c>
    </row>
    <row r="220" spans="1:1">
      <c r="A220" s="4">
        <v>44049</v>
      </c>
    </row>
    <row r="221" spans="1:1">
      <c r="A221" s="4">
        <v>44050</v>
      </c>
    </row>
    <row r="222" spans="1:1">
      <c r="A222" s="4">
        <v>44051</v>
      </c>
    </row>
    <row r="223" spans="1:1">
      <c r="A223" s="4">
        <v>44052</v>
      </c>
    </row>
    <row r="224" spans="1:1">
      <c r="A224" s="4">
        <v>44053</v>
      </c>
    </row>
    <row r="225" spans="1:1">
      <c r="A225" s="4">
        <v>44054</v>
      </c>
    </row>
    <row r="226" spans="1:1">
      <c r="A226" s="4">
        <v>44055</v>
      </c>
    </row>
    <row r="227" spans="1:1">
      <c r="A227" s="4">
        <v>44056</v>
      </c>
    </row>
    <row r="228" spans="1:1">
      <c r="A228" s="4">
        <v>44057</v>
      </c>
    </row>
    <row r="229" spans="1:1">
      <c r="A229" s="4">
        <v>44058</v>
      </c>
    </row>
    <row r="230" spans="1:1">
      <c r="A230" s="4">
        <v>44059</v>
      </c>
    </row>
    <row r="231" spans="1:1">
      <c r="A231" s="4">
        <v>44060</v>
      </c>
    </row>
    <row r="232" spans="1:1">
      <c r="A232" s="4">
        <v>44061</v>
      </c>
    </row>
    <row r="233" spans="1:1">
      <c r="A233" s="4">
        <v>44062</v>
      </c>
    </row>
    <row r="234" spans="1:1">
      <c r="A234" s="4">
        <v>44063</v>
      </c>
    </row>
    <row r="235" spans="1:1">
      <c r="A235" s="4">
        <v>44064</v>
      </c>
    </row>
    <row r="236" spans="1:1">
      <c r="A236" s="4">
        <v>44065</v>
      </c>
    </row>
    <row r="237" spans="1:1">
      <c r="A237" s="4">
        <v>44066</v>
      </c>
    </row>
    <row r="238" spans="1:1">
      <c r="A238" s="4">
        <v>44067</v>
      </c>
    </row>
    <row r="239" spans="1:1">
      <c r="A239" s="4">
        <v>44068</v>
      </c>
    </row>
    <row r="240" spans="1:1">
      <c r="A240" s="4">
        <v>44069</v>
      </c>
    </row>
    <row r="241" spans="1:1">
      <c r="A241" s="4">
        <v>44070</v>
      </c>
    </row>
    <row r="242" spans="1:1">
      <c r="A242" s="4">
        <v>44071</v>
      </c>
    </row>
    <row r="243" spans="1:1">
      <c r="A243" s="4">
        <v>44072</v>
      </c>
    </row>
    <row r="244" spans="1:1">
      <c r="A244" s="4">
        <v>44073</v>
      </c>
    </row>
    <row r="245" spans="1:1">
      <c r="A245" s="4">
        <v>44074</v>
      </c>
    </row>
    <row r="246" spans="1:1">
      <c r="A246" s="4">
        <v>44075</v>
      </c>
    </row>
    <row r="247" spans="1:1">
      <c r="A247" s="4">
        <v>44076</v>
      </c>
    </row>
    <row r="248" spans="1:1">
      <c r="A248" s="4">
        <v>44077</v>
      </c>
    </row>
    <row r="249" spans="1:1">
      <c r="A249" s="4">
        <v>44078</v>
      </c>
    </row>
    <row r="250" spans="1:1">
      <c r="A250" s="4">
        <v>44079</v>
      </c>
    </row>
    <row r="251" spans="1:1">
      <c r="A251" s="4">
        <v>44080</v>
      </c>
    </row>
    <row r="252" spans="1:1">
      <c r="A252" s="4">
        <v>44081</v>
      </c>
    </row>
    <row r="253" spans="1:1">
      <c r="A253" s="4">
        <v>44082</v>
      </c>
    </row>
    <row r="254" spans="1:1">
      <c r="A254" s="4">
        <v>44083</v>
      </c>
    </row>
    <row r="255" spans="1:1">
      <c r="A255" s="4">
        <v>44084</v>
      </c>
    </row>
    <row r="256" spans="1:1">
      <c r="A256" s="4">
        <v>44085</v>
      </c>
    </row>
    <row r="257" spans="1:1">
      <c r="A257" s="4">
        <v>44086</v>
      </c>
    </row>
    <row r="258" spans="1:1">
      <c r="A258" s="4">
        <v>44087</v>
      </c>
    </row>
    <row r="259" spans="1:1">
      <c r="A259" s="4">
        <v>44088</v>
      </c>
    </row>
    <row r="260" spans="1:1">
      <c r="A260" s="4">
        <v>44089</v>
      </c>
    </row>
    <row r="261" spans="1:1">
      <c r="A261" s="4">
        <v>44090</v>
      </c>
    </row>
    <row r="262" spans="1:1">
      <c r="A262" s="4">
        <v>44091</v>
      </c>
    </row>
    <row r="263" spans="1:1">
      <c r="A263" s="4">
        <v>44092</v>
      </c>
    </row>
    <row r="264" spans="1:1">
      <c r="A264" s="4">
        <v>44093</v>
      </c>
    </row>
    <row r="265" spans="1:1">
      <c r="A265" s="4">
        <v>44094</v>
      </c>
    </row>
    <row r="266" spans="1:1">
      <c r="A266" s="4">
        <v>44095</v>
      </c>
    </row>
    <row r="267" spans="1:1">
      <c r="A267" s="4">
        <v>44096</v>
      </c>
    </row>
    <row r="268" spans="1:1">
      <c r="A268" s="4">
        <v>44097</v>
      </c>
    </row>
    <row r="269" spans="1:1">
      <c r="A269" s="4">
        <v>44098</v>
      </c>
    </row>
    <row r="270" spans="1:1">
      <c r="A270" s="4">
        <v>44099</v>
      </c>
    </row>
    <row r="271" spans="1:1">
      <c r="A271" s="4">
        <v>44100</v>
      </c>
    </row>
    <row r="272" spans="1:1">
      <c r="A272" s="4">
        <v>44101</v>
      </c>
    </row>
    <row r="273" spans="1:1">
      <c r="A273" s="4">
        <v>44102</v>
      </c>
    </row>
    <row r="274" spans="1:1">
      <c r="A274" s="4">
        <v>44103</v>
      </c>
    </row>
    <row r="275" spans="1:1">
      <c r="A275" s="4">
        <v>44104</v>
      </c>
    </row>
    <row r="276" spans="1:1">
      <c r="A276" s="4">
        <v>44105</v>
      </c>
    </row>
    <row r="277" spans="1:1">
      <c r="A277" s="4">
        <v>44106</v>
      </c>
    </row>
    <row r="278" spans="1:1">
      <c r="A278" s="4">
        <v>44107</v>
      </c>
    </row>
    <row r="279" spans="1:1">
      <c r="A279" s="4">
        <v>44108</v>
      </c>
    </row>
    <row r="280" spans="1:1">
      <c r="A280" s="4">
        <v>44109</v>
      </c>
    </row>
    <row r="281" spans="1:1">
      <c r="A281" s="4">
        <v>44110</v>
      </c>
    </row>
    <row r="282" spans="1:1">
      <c r="A282" s="4">
        <v>44111</v>
      </c>
    </row>
    <row r="283" spans="1:1">
      <c r="A283" s="4">
        <v>44112</v>
      </c>
    </row>
    <row r="284" spans="1:1">
      <c r="A284" s="4">
        <v>44113</v>
      </c>
    </row>
    <row r="285" spans="1:1">
      <c r="A285" s="4">
        <v>44114</v>
      </c>
    </row>
    <row r="286" spans="1:1">
      <c r="A286" s="4">
        <v>44115</v>
      </c>
    </row>
    <row r="287" spans="1:1">
      <c r="A287" s="4">
        <v>44116</v>
      </c>
    </row>
    <row r="288" spans="1:1">
      <c r="A288" s="4">
        <v>44117</v>
      </c>
    </row>
    <row r="289" spans="1:1">
      <c r="A289" s="4">
        <v>44118</v>
      </c>
    </row>
    <row r="290" spans="1:1">
      <c r="A290" s="4">
        <v>44119</v>
      </c>
    </row>
    <row r="291" spans="1:1">
      <c r="A291" s="4">
        <v>44120</v>
      </c>
    </row>
    <row r="292" spans="1:1">
      <c r="A292" s="4">
        <v>44121</v>
      </c>
    </row>
    <row r="293" spans="1:1">
      <c r="A293" s="4">
        <v>44122</v>
      </c>
    </row>
    <row r="294" spans="1:1">
      <c r="A294" s="4">
        <v>44123</v>
      </c>
    </row>
    <row r="295" spans="1:1">
      <c r="A295" s="4">
        <v>44124</v>
      </c>
    </row>
    <row r="296" spans="1:1">
      <c r="A296" s="4">
        <v>44125</v>
      </c>
    </row>
    <row r="297" spans="1:1">
      <c r="A297" s="4">
        <v>44126</v>
      </c>
    </row>
    <row r="298" spans="1:1">
      <c r="A298" s="4">
        <v>44127</v>
      </c>
    </row>
    <row r="299" spans="1:1">
      <c r="A299" s="4">
        <v>44128</v>
      </c>
    </row>
    <row r="300" spans="1:1">
      <c r="A300" s="4">
        <v>44129</v>
      </c>
    </row>
    <row r="301" spans="1:1">
      <c r="A301" s="4">
        <v>44130</v>
      </c>
    </row>
    <row r="302" spans="1:1">
      <c r="A302" s="4">
        <v>44131</v>
      </c>
    </row>
    <row r="303" spans="1:1">
      <c r="A303" s="4">
        <v>44132</v>
      </c>
    </row>
    <row r="304" spans="1:1">
      <c r="A304" s="4">
        <v>44133</v>
      </c>
    </row>
    <row r="305" spans="1:1">
      <c r="A305" s="4">
        <v>44134</v>
      </c>
    </row>
    <row r="306" spans="1:1">
      <c r="A306" s="4">
        <v>44135</v>
      </c>
    </row>
    <row r="307" spans="1:1">
      <c r="A307" s="4">
        <v>44136</v>
      </c>
    </row>
    <row r="308" spans="1:1">
      <c r="A308" s="4">
        <v>44137</v>
      </c>
    </row>
    <row r="309" spans="1:1">
      <c r="A309" s="4">
        <v>44138</v>
      </c>
    </row>
    <row r="310" spans="1:1">
      <c r="A310" s="4">
        <v>44139</v>
      </c>
    </row>
    <row r="311" spans="1:1">
      <c r="A311" s="4">
        <v>44140</v>
      </c>
    </row>
    <row r="312" spans="1:1">
      <c r="A312" s="4">
        <v>44141</v>
      </c>
    </row>
    <row r="313" spans="1:1">
      <c r="A313" s="4">
        <v>44142</v>
      </c>
    </row>
    <row r="314" spans="1:1">
      <c r="A314" s="4">
        <v>44143</v>
      </c>
    </row>
    <row r="315" spans="1:1">
      <c r="A315" s="4">
        <v>44144</v>
      </c>
    </row>
    <row r="316" spans="1:1">
      <c r="A316" s="4">
        <v>44145</v>
      </c>
    </row>
    <row r="317" spans="1:1">
      <c r="A317" s="4">
        <v>44146</v>
      </c>
    </row>
    <row r="318" spans="1:1">
      <c r="A318" s="4">
        <v>44147</v>
      </c>
    </row>
    <row r="319" spans="1:1">
      <c r="A319" s="4">
        <v>44148</v>
      </c>
    </row>
    <row r="320" spans="1:1">
      <c r="A320" s="4">
        <v>44149</v>
      </c>
    </row>
    <row r="321" spans="1:1">
      <c r="A321" s="4">
        <v>44150</v>
      </c>
    </row>
    <row r="322" spans="1:1">
      <c r="A322" s="4">
        <v>44151</v>
      </c>
    </row>
    <row r="323" spans="1:1">
      <c r="A323" s="4">
        <v>44152</v>
      </c>
    </row>
    <row r="324" spans="1:1">
      <c r="A324" s="4">
        <v>44153</v>
      </c>
    </row>
    <row r="325" spans="1:1">
      <c r="A325" s="4">
        <v>44154</v>
      </c>
    </row>
    <row r="326" spans="1:1">
      <c r="A326" s="4">
        <v>44155</v>
      </c>
    </row>
    <row r="327" spans="1:1">
      <c r="A327" s="4">
        <v>44156</v>
      </c>
    </row>
    <row r="328" spans="1:1">
      <c r="A328" s="4">
        <v>44157</v>
      </c>
    </row>
    <row r="329" spans="1:1">
      <c r="A329" s="4">
        <v>44158</v>
      </c>
    </row>
    <row r="330" spans="1:1">
      <c r="A330" s="4">
        <v>44159</v>
      </c>
    </row>
    <row r="331" spans="1:1">
      <c r="A331" s="4">
        <v>44160</v>
      </c>
    </row>
    <row r="332" spans="1:1">
      <c r="A332" s="4">
        <v>44161</v>
      </c>
    </row>
    <row r="333" spans="1:1">
      <c r="A333" s="4">
        <v>44162</v>
      </c>
    </row>
    <row r="334" spans="1:1">
      <c r="A334" s="4">
        <v>44163</v>
      </c>
    </row>
    <row r="335" spans="1:1">
      <c r="A335" s="4">
        <v>44164</v>
      </c>
    </row>
    <row r="336" spans="1:1">
      <c r="A336" s="4">
        <v>44165</v>
      </c>
    </row>
    <row r="337" spans="1:1">
      <c r="A337" s="4">
        <v>44166</v>
      </c>
    </row>
    <row r="338" spans="1:1">
      <c r="A338" s="4">
        <v>44167</v>
      </c>
    </row>
    <row r="339" spans="1:1">
      <c r="A339" s="4">
        <v>44168</v>
      </c>
    </row>
    <row r="340" spans="1:1">
      <c r="A340" s="4">
        <v>44169</v>
      </c>
    </row>
    <row r="341" spans="1:1">
      <c r="A341" s="4">
        <v>44170</v>
      </c>
    </row>
    <row r="342" spans="1:1">
      <c r="A342" s="4">
        <v>44171</v>
      </c>
    </row>
    <row r="343" spans="1:1">
      <c r="A343" s="4">
        <v>44172</v>
      </c>
    </row>
    <row r="344" spans="1:1">
      <c r="A344" s="4">
        <v>44173</v>
      </c>
    </row>
    <row r="345" spans="1:1">
      <c r="A345" s="4">
        <v>44174</v>
      </c>
    </row>
    <row r="346" spans="1:1">
      <c r="A346" s="4">
        <v>44175</v>
      </c>
    </row>
    <row r="347" spans="1:1">
      <c r="A347" s="4">
        <v>44176</v>
      </c>
    </row>
    <row r="348" spans="1:1">
      <c r="A348" s="4">
        <v>44177</v>
      </c>
    </row>
    <row r="349" spans="1:1">
      <c r="A349" s="4">
        <v>44178</v>
      </c>
    </row>
    <row r="350" spans="1:1">
      <c r="A350" s="4">
        <v>44179</v>
      </c>
    </row>
    <row r="351" spans="1:1">
      <c r="A351" s="4">
        <v>44180</v>
      </c>
    </row>
    <row r="352" spans="1:1">
      <c r="A352" s="4">
        <v>44181</v>
      </c>
    </row>
    <row r="353" spans="1:1">
      <c r="A353" s="4">
        <v>44182</v>
      </c>
    </row>
    <row r="354" spans="1:1">
      <c r="A354" s="4">
        <v>44183</v>
      </c>
    </row>
    <row r="355" spans="1:1">
      <c r="A355" s="4">
        <v>44184</v>
      </c>
    </row>
    <row r="356" spans="1:1">
      <c r="A356" s="4">
        <v>44185</v>
      </c>
    </row>
    <row r="357" spans="1:1">
      <c r="A357" s="4">
        <v>44186</v>
      </c>
    </row>
    <row r="358" spans="1:1">
      <c r="A358" s="4">
        <v>44187</v>
      </c>
    </row>
    <row r="359" spans="1:1">
      <c r="A359" s="4">
        <v>44188</v>
      </c>
    </row>
    <row r="360" spans="1:1">
      <c r="A360" s="4">
        <v>44189</v>
      </c>
    </row>
    <row r="361" spans="1:1">
      <c r="A361" s="4">
        <v>44190</v>
      </c>
    </row>
    <row r="362" spans="1:1">
      <c r="A362" s="4">
        <v>44191</v>
      </c>
    </row>
    <row r="363" spans="1:1">
      <c r="A363" s="4">
        <v>44192</v>
      </c>
    </row>
    <row r="364" spans="1:1">
      <c r="A364" s="4">
        <v>44193</v>
      </c>
    </row>
    <row r="365" spans="1:1">
      <c r="A365" s="4">
        <v>44194</v>
      </c>
    </row>
    <row r="366" spans="1:1">
      <c r="A366" s="4">
        <v>44195</v>
      </c>
    </row>
    <row r="367" spans="1:1">
      <c r="A367" s="4">
        <v>44196</v>
      </c>
    </row>
    <row r="368" spans="1:1">
      <c r="A368" s="4">
        <v>44197</v>
      </c>
    </row>
    <row r="369" spans="1:1">
      <c r="A369" s="4">
        <v>44198</v>
      </c>
    </row>
    <row r="370" spans="1:1">
      <c r="A370" s="4">
        <v>44199</v>
      </c>
    </row>
    <row r="371" spans="1:1">
      <c r="A371" s="4">
        <v>44200</v>
      </c>
    </row>
    <row r="372" spans="1:1">
      <c r="A372" s="4">
        <v>44201</v>
      </c>
    </row>
    <row r="373" spans="1:1">
      <c r="A373" s="4">
        <v>44202</v>
      </c>
    </row>
    <row r="374" spans="1:1">
      <c r="A374" s="4">
        <v>44203</v>
      </c>
    </row>
    <row r="375" spans="1:1">
      <c r="A375" s="4">
        <v>44204</v>
      </c>
    </row>
    <row r="376" spans="1:1">
      <c r="A376" s="4">
        <v>44205</v>
      </c>
    </row>
    <row r="377" spans="1:1">
      <c r="A377" s="4">
        <v>44206</v>
      </c>
    </row>
    <row r="378" spans="1:1">
      <c r="A378" s="4">
        <v>44207</v>
      </c>
    </row>
    <row r="379" spans="1:1">
      <c r="A379" s="4">
        <v>44208</v>
      </c>
    </row>
    <row r="380" spans="1:1">
      <c r="A380" s="4">
        <v>44209</v>
      </c>
    </row>
    <row r="381" spans="1:1">
      <c r="A381" s="4">
        <v>44210</v>
      </c>
    </row>
    <row r="382" spans="1:1">
      <c r="A382" s="4">
        <v>44211</v>
      </c>
    </row>
    <row r="383" spans="1:1">
      <c r="A383" s="4">
        <v>44212</v>
      </c>
    </row>
    <row r="384" spans="1:1">
      <c r="A384" s="4">
        <v>44213</v>
      </c>
    </row>
    <row r="385" spans="1:1">
      <c r="A385" s="4">
        <v>44214</v>
      </c>
    </row>
    <row r="386" spans="1:1">
      <c r="A386" s="4">
        <v>44215</v>
      </c>
    </row>
    <row r="387" spans="1:1">
      <c r="A387" s="4">
        <v>44216</v>
      </c>
    </row>
    <row r="388" spans="1:1">
      <c r="A388" s="4">
        <v>44217</v>
      </c>
    </row>
    <row r="389" spans="1:1">
      <c r="A389" s="4">
        <v>44218</v>
      </c>
    </row>
    <row r="390" spans="1:1">
      <c r="A390" s="4">
        <v>44219</v>
      </c>
    </row>
    <row r="391" spans="1:1">
      <c r="A391" s="4">
        <v>44220</v>
      </c>
    </row>
    <row r="392" spans="1:1">
      <c r="A392" s="4">
        <v>44221</v>
      </c>
    </row>
    <row r="393" spans="1:1">
      <c r="A393" s="4">
        <v>44222</v>
      </c>
    </row>
    <row r="394" spans="1:1">
      <c r="A394" s="4">
        <v>44223</v>
      </c>
    </row>
    <row r="395" spans="1:1">
      <c r="A395" s="4">
        <v>44224</v>
      </c>
    </row>
    <row r="396" spans="1:1">
      <c r="A396" s="4">
        <v>44225</v>
      </c>
    </row>
    <row r="397" spans="1:1">
      <c r="A397" s="4">
        <v>44226</v>
      </c>
    </row>
    <row r="398" spans="1:1">
      <c r="A398" s="4">
        <v>44227</v>
      </c>
    </row>
    <row r="399" spans="1:1">
      <c r="A399" s="4">
        <v>44228</v>
      </c>
    </row>
    <row r="400" spans="1:1">
      <c r="A400" s="4">
        <v>44229</v>
      </c>
    </row>
    <row r="401" spans="1:1">
      <c r="A401" s="4">
        <v>44230</v>
      </c>
    </row>
    <row r="402" spans="1:1">
      <c r="A402" s="4">
        <v>44231</v>
      </c>
    </row>
    <row r="403" spans="1:1">
      <c r="A403" s="4">
        <v>44232</v>
      </c>
    </row>
    <row r="404" spans="1:1">
      <c r="A404" s="4">
        <v>44233</v>
      </c>
    </row>
    <row r="405" spans="1:1">
      <c r="A405" s="4">
        <v>44234</v>
      </c>
    </row>
    <row r="406" spans="1:1">
      <c r="A406" s="4">
        <v>44235</v>
      </c>
    </row>
    <row r="407" spans="1:1">
      <c r="A407" s="4">
        <v>44236</v>
      </c>
    </row>
    <row r="408" spans="1:1">
      <c r="A408" s="4">
        <v>44237</v>
      </c>
    </row>
    <row r="409" spans="1:1">
      <c r="A409" s="4">
        <v>44238</v>
      </c>
    </row>
    <row r="410" spans="1:1">
      <c r="A410" s="4">
        <v>44239</v>
      </c>
    </row>
    <row r="411" spans="1:1">
      <c r="A411" s="4">
        <v>44240</v>
      </c>
    </row>
    <row r="412" spans="1:1">
      <c r="A412" s="4">
        <v>44241</v>
      </c>
    </row>
    <row r="413" spans="1:1">
      <c r="A413" s="4">
        <v>44242</v>
      </c>
    </row>
    <row r="414" spans="1:1">
      <c r="A414" s="4">
        <v>44243</v>
      </c>
    </row>
    <row r="415" spans="1:1">
      <c r="A415" s="4">
        <v>44244</v>
      </c>
    </row>
    <row r="416" spans="1:1">
      <c r="A416" s="4">
        <v>44245</v>
      </c>
    </row>
    <row r="417" spans="1:1">
      <c r="A417" s="4">
        <v>44246</v>
      </c>
    </row>
    <row r="418" spans="1:1">
      <c r="A418" s="4">
        <v>44247</v>
      </c>
    </row>
    <row r="419" spans="1:1">
      <c r="A419" s="4">
        <v>44248</v>
      </c>
    </row>
    <row r="420" spans="1:1">
      <c r="A420" s="4">
        <v>44249</v>
      </c>
    </row>
    <row r="421" spans="1:1">
      <c r="A421" s="4">
        <v>44250</v>
      </c>
    </row>
    <row r="422" spans="1:1">
      <c r="A422" s="4">
        <v>44251</v>
      </c>
    </row>
    <row r="423" spans="1:1">
      <c r="A423" s="4">
        <v>44252</v>
      </c>
    </row>
    <row r="424" spans="1:1">
      <c r="A424" s="4">
        <v>44253</v>
      </c>
    </row>
    <row r="425" spans="1:1">
      <c r="A425" s="4">
        <v>44254</v>
      </c>
    </row>
    <row r="426" spans="1:1">
      <c r="A426" s="4">
        <v>44255</v>
      </c>
    </row>
    <row r="427" spans="1:1">
      <c r="A427" s="4">
        <v>44256</v>
      </c>
    </row>
    <row r="428" spans="1:1">
      <c r="A428" s="4">
        <v>44257</v>
      </c>
    </row>
    <row r="429" spans="1:1">
      <c r="A429" s="4">
        <v>44258</v>
      </c>
    </row>
    <row r="430" spans="1:1">
      <c r="A430" s="4">
        <v>44259</v>
      </c>
    </row>
    <row r="431" spans="1:1">
      <c r="A431" s="4">
        <v>44260</v>
      </c>
    </row>
    <row r="432" spans="1:1">
      <c r="A432" s="4">
        <v>44261</v>
      </c>
    </row>
    <row r="433" spans="1:1">
      <c r="A433" s="4">
        <v>44262</v>
      </c>
    </row>
    <row r="434" spans="1:1">
      <c r="A434" s="4">
        <v>44263</v>
      </c>
    </row>
    <row r="435" spans="1:1">
      <c r="A435" s="4">
        <v>44264</v>
      </c>
    </row>
    <row r="436" spans="1:1">
      <c r="A436" s="4">
        <v>44265</v>
      </c>
    </row>
    <row r="437" spans="1:1">
      <c r="A437" s="4">
        <v>44266</v>
      </c>
    </row>
    <row r="438" spans="1:1">
      <c r="A438" s="4">
        <v>44267</v>
      </c>
    </row>
    <row r="439" spans="1:1">
      <c r="A439" s="4">
        <v>44268</v>
      </c>
    </row>
    <row r="440" spans="1:1">
      <c r="A440" s="4">
        <v>44269</v>
      </c>
    </row>
    <row r="441" spans="1:1">
      <c r="A441" s="4">
        <v>44270</v>
      </c>
    </row>
    <row r="442" spans="1:1">
      <c r="A442" s="4">
        <v>44271</v>
      </c>
    </row>
    <row r="443" spans="1:1">
      <c r="A443" s="4">
        <v>44272</v>
      </c>
    </row>
    <row r="444" spans="1:1">
      <c r="A444" s="4">
        <v>44273</v>
      </c>
    </row>
    <row r="445" spans="1:1">
      <c r="A445" s="4">
        <v>44274</v>
      </c>
    </row>
    <row r="446" spans="1:1">
      <c r="A446" s="4">
        <v>44275</v>
      </c>
    </row>
    <row r="447" spans="1:1">
      <c r="A447" s="4">
        <v>44276</v>
      </c>
    </row>
    <row r="448" spans="1:1">
      <c r="A448" s="4">
        <v>44277</v>
      </c>
    </row>
    <row r="449" spans="1:1">
      <c r="A449" s="4">
        <v>44278</v>
      </c>
    </row>
    <row r="450" spans="1:1">
      <c r="A450" s="4">
        <v>44279</v>
      </c>
    </row>
    <row r="451" spans="1:1">
      <c r="A451" s="4">
        <v>44280</v>
      </c>
    </row>
    <row r="452" spans="1:1">
      <c r="A452" s="4">
        <v>44281</v>
      </c>
    </row>
    <row r="453" spans="1:1">
      <c r="A453" s="4">
        <v>44282</v>
      </c>
    </row>
    <row r="454" spans="1:1">
      <c r="A454" s="4">
        <v>44283</v>
      </c>
    </row>
    <row r="455" spans="1:1">
      <c r="A455" s="4">
        <v>44284</v>
      </c>
    </row>
    <row r="456" spans="1:1">
      <c r="A456" s="4">
        <v>44285</v>
      </c>
    </row>
    <row r="457" spans="1:1">
      <c r="A457" s="4">
        <v>44286</v>
      </c>
    </row>
    <row r="458" spans="1:1">
      <c r="A458" s="4">
        <v>44287</v>
      </c>
    </row>
    <row r="459" spans="1:1">
      <c r="A459" s="4">
        <v>44288</v>
      </c>
    </row>
    <row r="460" spans="1:1">
      <c r="A460" s="4">
        <v>44289</v>
      </c>
    </row>
    <row r="461" spans="1:1">
      <c r="A461" s="4">
        <v>44290</v>
      </c>
    </row>
    <row r="462" spans="1:1">
      <c r="A462" s="4">
        <v>44291</v>
      </c>
    </row>
    <row r="463" spans="1:1">
      <c r="A463" s="4">
        <v>44292</v>
      </c>
    </row>
    <row r="464" spans="1:1">
      <c r="A464" s="4">
        <v>44293</v>
      </c>
    </row>
    <row r="465" spans="1:1">
      <c r="A465" s="4">
        <v>44294</v>
      </c>
    </row>
    <row r="466" spans="1:1">
      <c r="A466" s="4">
        <v>44295</v>
      </c>
    </row>
    <row r="467" spans="1:1">
      <c r="A467" s="4">
        <v>44296</v>
      </c>
    </row>
    <row r="468" spans="1:1">
      <c r="A468" s="4">
        <v>44297</v>
      </c>
    </row>
    <row r="469" spans="1:1">
      <c r="A469" s="4">
        <v>44298</v>
      </c>
    </row>
    <row r="470" spans="1:1">
      <c r="A470" s="4">
        <v>44299</v>
      </c>
    </row>
    <row r="471" spans="1:1">
      <c r="A471" s="4">
        <v>44300</v>
      </c>
    </row>
    <row r="472" spans="1:1">
      <c r="A472" s="4">
        <v>44301</v>
      </c>
    </row>
    <row r="473" spans="1:1">
      <c r="A473" s="4">
        <v>44302</v>
      </c>
    </row>
    <row r="474" spans="1:1">
      <c r="A474" s="4">
        <v>44303</v>
      </c>
    </row>
    <row r="475" spans="1:1">
      <c r="A475" s="4">
        <v>44304</v>
      </c>
    </row>
    <row r="476" spans="1:1">
      <c r="A476" s="4">
        <v>44305</v>
      </c>
    </row>
    <row r="477" spans="1:1">
      <c r="A477" s="4">
        <v>44306</v>
      </c>
    </row>
    <row r="478" spans="1:1">
      <c r="A478" s="4">
        <v>44307</v>
      </c>
    </row>
    <row r="479" spans="1:1">
      <c r="A479" s="4">
        <v>44308</v>
      </c>
    </row>
    <row r="480" spans="1:1">
      <c r="A480" s="4">
        <v>44309</v>
      </c>
    </row>
    <row r="481" spans="1:1">
      <c r="A481" s="4">
        <v>44310</v>
      </c>
    </row>
    <row r="482" spans="1:1">
      <c r="A482" s="4">
        <v>44311</v>
      </c>
    </row>
    <row r="483" spans="1:1">
      <c r="A483" s="4">
        <v>44312</v>
      </c>
    </row>
    <row r="484" spans="1:1">
      <c r="A484" s="4">
        <v>44313</v>
      </c>
    </row>
    <row r="485" spans="1:1">
      <c r="A485" s="4">
        <v>44314</v>
      </c>
    </row>
    <row r="486" spans="1:1">
      <c r="A486" s="4">
        <v>44315</v>
      </c>
    </row>
    <row r="487" spans="1:1">
      <c r="A487" s="4">
        <v>44316</v>
      </c>
    </row>
    <row r="488" spans="1:1">
      <c r="A488" s="4">
        <v>44317</v>
      </c>
    </row>
    <row r="489" spans="1:1">
      <c r="A489" s="4">
        <v>44318</v>
      </c>
    </row>
    <row r="490" spans="1:1">
      <c r="A490" s="4">
        <v>44319</v>
      </c>
    </row>
    <row r="491" spans="1:1">
      <c r="A491" s="4">
        <v>44320</v>
      </c>
    </row>
    <row r="492" spans="1:1">
      <c r="A492" s="4">
        <v>44321</v>
      </c>
    </row>
    <row r="493" spans="1:1">
      <c r="A493" s="4">
        <v>44322</v>
      </c>
    </row>
    <row r="494" spans="1:1">
      <c r="A494" s="4">
        <v>44323</v>
      </c>
    </row>
    <row r="495" spans="1:1">
      <c r="A495" s="4">
        <v>44324</v>
      </c>
    </row>
    <row r="496" spans="1:1">
      <c r="A496" s="4">
        <v>44325</v>
      </c>
    </row>
    <row r="497" spans="1:1">
      <c r="A497" s="4">
        <v>44326</v>
      </c>
    </row>
    <row r="498" spans="1:1">
      <c r="A498" s="4">
        <v>44327</v>
      </c>
    </row>
    <row r="499" spans="1:1">
      <c r="A499" s="4">
        <v>44328</v>
      </c>
    </row>
    <row r="500" spans="1:1">
      <c r="A500" s="4">
        <v>44329</v>
      </c>
    </row>
    <row r="501" spans="1:1">
      <c r="A501" s="4">
        <v>44330</v>
      </c>
    </row>
    <row r="502" spans="1:1">
      <c r="A502" s="4">
        <v>44331</v>
      </c>
    </row>
    <row r="503" spans="1:1">
      <c r="A503" s="4">
        <v>44332</v>
      </c>
    </row>
    <row r="504" spans="1:1">
      <c r="A504" s="4">
        <v>44333</v>
      </c>
    </row>
    <row r="505" spans="1:1">
      <c r="A505" s="4">
        <v>44334</v>
      </c>
    </row>
    <row r="506" spans="1:1">
      <c r="A506" s="4">
        <v>44335</v>
      </c>
    </row>
    <row r="507" spans="1:1">
      <c r="A507" s="4">
        <v>44336</v>
      </c>
    </row>
    <row r="508" spans="1:1">
      <c r="A508" s="4">
        <v>44337</v>
      </c>
    </row>
    <row r="509" spans="1:1">
      <c r="A509" s="4">
        <v>44338</v>
      </c>
    </row>
    <row r="510" spans="1:1">
      <c r="A510" s="4">
        <v>44339</v>
      </c>
    </row>
    <row r="511" spans="1:1">
      <c r="A511" s="4">
        <v>44340</v>
      </c>
    </row>
    <row r="512" spans="1:1">
      <c r="A512" s="4">
        <v>44341</v>
      </c>
    </row>
    <row r="513" spans="1:1">
      <c r="A513" s="4">
        <v>44342</v>
      </c>
    </row>
    <row r="514" spans="1:1">
      <c r="A514" s="4">
        <v>44343</v>
      </c>
    </row>
    <row r="515" spans="1:1">
      <c r="A515" s="4">
        <v>44344</v>
      </c>
    </row>
    <row r="516" spans="1:1">
      <c r="A516" s="4">
        <v>44345</v>
      </c>
    </row>
    <row r="517" spans="1:1">
      <c r="A517" s="4">
        <v>44346</v>
      </c>
    </row>
    <row r="518" spans="1:1">
      <c r="A518" s="4">
        <v>44347</v>
      </c>
    </row>
    <row r="519" spans="1:1">
      <c r="A519" s="4">
        <v>44348</v>
      </c>
    </row>
    <row r="520" spans="1:1">
      <c r="A520" s="4">
        <v>44349</v>
      </c>
    </row>
    <row r="521" spans="1:1">
      <c r="A521" s="4">
        <v>44350</v>
      </c>
    </row>
    <row r="522" spans="1:1">
      <c r="A522" s="4">
        <v>44351</v>
      </c>
    </row>
    <row r="523" spans="1:1">
      <c r="A523" s="4">
        <v>44352</v>
      </c>
    </row>
    <row r="524" spans="1:1">
      <c r="A524" s="4">
        <v>44353</v>
      </c>
    </row>
    <row r="525" spans="1:1">
      <c r="A525" s="4">
        <v>44354</v>
      </c>
    </row>
    <row r="526" spans="1:1">
      <c r="A526" s="4">
        <v>44355</v>
      </c>
    </row>
    <row r="527" spans="1:1">
      <c r="A527" s="4">
        <v>44356</v>
      </c>
    </row>
    <row r="528" spans="1:1">
      <c r="A528" s="4">
        <v>44357</v>
      </c>
    </row>
    <row r="529" spans="1:1">
      <c r="A529" s="4">
        <v>44358</v>
      </c>
    </row>
    <row r="530" spans="1:1">
      <c r="A530" s="4">
        <v>44359</v>
      </c>
    </row>
    <row r="531" spans="1:1">
      <c r="A531" s="4">
        <v>44360</v>
      </c>
    </row>
    <row r="532" spans="1:1">
      <c r="A532" s="4">
        <v>44361</v>
      </c>
    </row>
    <row r="533" spans="1:1">
      <c r="A533" s="4">
        <v>44362</v>
      </c>
    </row>
    <row r="534" spans="1:1">
      <c r="A534" s="4">
        <v>44363</v>
      </c>
    </row>
    <row r="535" spans="1:1">
      <c r="A535" s="4">
        <v>44364</v>
      </c>
    </row>
    <row r="536" spans="1:1">
      <c r="A536" s="4">
        <v>44365</v>
      </c>
    </row>
    <row r="537" spans="1:1">
      <c r="A537" s="4">
        <v>44366</v>
      </c>
    </row>
    <row r="538" spans="1:1">
      <c r="A538" s="4">
        <v>44367</v>
      </c>
    </row>
    <row r="539" spans="1:1">
      <c r="A539" s="4">
        <v>44368</v>
      </c>
    </row>
    <row r="540" spans="1:1">
      <c r="A540" s="4">
        <v>44369</v>
      </c>
    </row>
    <row r="541" spans="1:1">
      <c r="A541" s="4">
        <v>44370</v>
      </c>
    </row>
    <row r="542" spans="1:1">
      <c r="A542" s="4">
        <v>44371</v>
      </c>
    </row>
    <row r="543" spans="1:1">
      <c r="A543" s="4">
        <v>44372</v>
      </c>
    </row>
    <row r="544" spans="1:1">
      <c r="A544" s="4">
        <v>44373</v>
      </c>
    </row>
    <row r="545" spans="1:1">
      <c r="A545" s="4">
        <v>44374</v>
      </c>
    </row>
    <row r="546" spans="1:1">
      <c r="A546" s="4">
        <v>44375</v>
      </c>
    </row>
    <row r="547" spans="1:1">
      <c r="A547" s="4">
        <v>44376</v>
      </c>
    </row>
    <row r="548" spans="1:1">
      <c r="A548" s="4">
        <v>44377</v>
      </c>
    </row>
    <row r="549" spans="1:1">
      <c r="A549" s="4">
        <v>44378</v>
      </c>
    </row>
    <row r="550" spans="1:1">
      <c r="A550" s="4">
        <v>44379</v>
      </c>
    </row>
    <row r="551" spans="1:1">
      <c r="A551" s="4">
        <v>44380</v>
      </c>
    </row>
    <row r="552" spans="1:1">
      <c r="A552" s="4">
        <v>44381</v>
      </c>
    </row>
    <row r="553" spans="1:1">
      <c r="A553" s="4">
        <v>44382</v>
      </c>
    </row>
    <row r="554" spans="1:1">
      <c r="A554" s="4">
        <v>44383</v>
      </c>
    </row>
    <row r="555" spans="1:1">
      <c r="A555" s="4">
        <v>44384</v>
      </c>
    </row>
    <row r="556" spans="1:1">
      <c r="A556" s="4">
        <v>44385</v>
      </c>
    </row>
    <row r="557" spans="1:1">
      <c r="A557" s="4">
        <v>44386</v>
      </c>
    </row>
    <row r="558" spans="1:1">
      <c r="A558" s="4">
        <v>44387</v>
      </c>
    </row>
    <row r="559" spans="1:1">
      <c r="A559" s="4">
        <v>44388</v>
      </c>
    </row>
    <row r="560" spans="1:1">
      <c r="A560" s="4">
        <v>44389</v>
      </c>
    </row>
    <row r="561" spans="1:1">
      <c r="A561" s="4">
        <v>44390</v>
      </c>
    </row>
    <row r="562" spans="1:1">
      <c r="A562" s="4">
        <v>44391</v>
      </c>
    </row>
    <row r="563" spans="1:1">
      <c r="A563" s="4">
        <v>44392</v>
      </c>
    </row>
    <row r="564" spans="1:1">
      <c r="A564" s="4">
        <v>44393</v>
      </c>
    </row>
    <row r="565" spans="1:1">
      <c r="A565" s="4">
        <v>44394</v>
      </c>
    </row>
    <row r="566" spans="1:1">
      <c r="A566" s="4">
        <v>44395</v>
      </c>
    </row>
    <row r="567" spans="1:1">
      <c r="A567" s="4">
        <v>44396</v>
      </c>
    </row>
    <row r="568" spans="1:1">
      <c r="A568" s="4">
        <v>44397</v>
      </c>
    </row>
    <row r="569" spans="1:1">
      <c r="A569" s="4">
        <v>44398</v>
      </c>
    </row>
    <row r="570" spans="1:1">
      <c r="A570" s="4">
        <v>44399</v>
      </c>
    </row>
    <row r="571" spans="1:1">
      <c r="A571" s="4">
        <v>44400</v>
      </c>
    </row>
    <row r="572" spans="1:1">
      <c r="A572" s="4">
        <v>44401</v>
      </c>
    </row>
    <row r="573" spans="1:1">
      <c r="A573" s="4">
        <v>44402</v>
      </c>
    </row>
    <row r="574" spans="1:1">
      <c r="A574" s="4">
        <v>44403</v>
      </c>
    </row>
    <row r="575" spans="1:1">
      <c r="A575" s="4">
        <v>44404</v>
      </c>
    </row>
    <row r="576" spans="1:1">
      <c r="A576" s="4">
        <v>44405</v>
      </c>
    </row>
    <row r="577" spans="1:1">
      <c r="A577" s="4">
        <v>44406</v>
      </c>
    </row>
    <row r="578" spans="1:1">
      <c r="A578" s="4">
        <v>44407</v>
      </c>
    </row>
    <row r="579" spans="1:1">
      <c r="A579" s="4">
        <v>44408</v>
      </c>
    </row>
    <row r="580" spans="1:1">
      <c r="A580" s="4">
        <v>44409</v>
      </c>
    </row>
    <row r="581" spans="1:1">
      <c r="A581" s="4">
        <v>44410</v>
      </c>
    </row>
    <row r="582" spans="1:1">
      <c r="A582" s="4">
        <v>44411</v>
      </c>
    </row>
    <row r="583" spans="1:1">
      <c r="A583" s="4">
        <v>44412</v>
      </c>
    </row>
    <row r="584" spans="1:1">
      <c r="A584" s="4">
        <v>44413</v>
      </c>
    </row>
    <row r="585" spans="1:1">
      <c r="A585" s="4">
        <v>44414</v>
      </c>
    </row>
    <row r="586" spans="1:1">
      <c r="A586" s="4">
        <v>44415</v>
      </c>
    </row>
    <row r="587" spans="1:1">
      <c r="A587" s="4">
        <v>44416</v>
      </c>
    </row>
    <row r="588" spans="1:1">
      <c r="A588" s="4">
        <v>44417</v>
      </c>
    </row>
    <row r="589" spans="1:1">
      <c r="A589" s="4">
        <v>44418</v>
      </c>
    </row>
    <row r="590" spans="1:1">
      <c r="A590" s="4">
        <v>44419</v>
      </c>
    </row>
    <row r="591" spans="1:1">
      <c r="A591" s="4">
        <v>44420</v>
      </c>
    </row>
    <row r="592" spans="1:1">
      <c r="A592" s="4">
        <v>44421</v>
      </c>
    </row>
    <row r="593" spans="1:1">
      <c r="A593" s="4">
        <v>44422</v>
      </c>
    </row>
    <row r="594" spans="1:1">
      <c r="A594" s="4">
        <v>44423</v>
      </c>
    </row>
    <row r="595" spans="1:1">
      <c r="A595" s="4">
        <v>44424</v>
      </c>
    </row>
    <row r="596" spans="1:1">
      <c r="A596" s="4">
        <v>44425</v>
      </c>
    </row>
    <row r="597" spans="1:1">
      <c r="A597" s="4">
        <v>44426</v>
      </c>
    </row>
    <row r="598" spans="1:1">
      <c r="A598" s="4">
        <v>44427</v>
      </c>
    </row>
    <row r="599" spans="1:1">
      <c r="A599" s="4">
        <v>44428</v>
      </c>
    </row>
    <row r="600" spans="1:1">
      <c r="A600" s="4">
        <v>44429</v>
      </c>
    </row>
    <row r="601" spans="1:1">
      <c r="A601" s="4">
        <v>44430</v>
      </c>
    </row>
    <row r="602" spans="1:1">
      <c r="A602" s="4">
        <v>44431</v>
      </c>
    </row>
    <row r="603" spans="1:1">
      <c r="A603" s="4">
        <v>44432</v>
      </c>
    </row>
    <row r="604" spans="1:1">
      <c r="A604" s="4">
        <v>44433</v>
      </c>
    </row>
    <row r="605" spans="1:1">
      <c r="A605" s="4">
        <v>44434</v>
      </c>
    </row>
    <row r="606" spans="1:1">
      <c r="A606" s="4">
        <v>44435</v>
      </c>
    </row>
    <row r="607" spans="1:1">
      <c r="A607" s="4">
        <v>44436</v>
      </c>
    </row>
    <row r="608" spans="1:1">
      <c r="A608" s="4">
        <v>44437</v>
      </c>
    </row>
    <row r="609" spans="1:1">
      <c r="A609" s="4">
        <v>44438</v>
      </c>
    </row>
    <row r="610" spans="1:1">
      <c r="A610" s="4">
        <v>44439</v>
      </c>
    </row>
    <row r="611" spans="1:1">
      <c r="A611" s="4">
        <v>44440</v>
      </c>
    </row>
    <row r="612" spans="1:1">
      <c r="A612" s="4">
        <v>44441</v>
      </c>
    </row>
    <row r="613" spans="1:1">
      <c r="A613" s="4">
        <v>44442</v>
      </c>
    </row>
    <row r="614" spans="1:1">
      <c r="A614" s="4">
        <v>44443</v>
      </c>
    </row>
    <row r="615" spans="1:1">
      <c r="A615" s="4">
        <v>44444</v>
      </c>
    </row>
    <row r="616" spans="1:1">
      <c r="A616" s="4">
        <v>44445</v>
      </c>
    </row>
    <row r="617" spans="1:1">
      <c r="A617" s="4">
        <v>44446</v>
      </c>
    </row>
    <row r="618" spans="1:1">
      <c r="A618" s="4">
        <v>44447</v>
      </c>
    </row>
    <row r="619" spans="1:1">
      <c r="A619" s="4">
        <v>44448</v>
      </c>
    </row>
    <row r="620" spans="1:1">
      <c r="A620" s="4">
        <v>44449</v>
      </c>
    </row>
    <row r="621" spans="1:1">
      <c r="A621" s="4">
        <v>44450</v>
      </c>
    </row>
    <row r="622" spans="1:1">
      <c r="A622" s="4">
        <v>44451</v>
      </c>
    </row>
    <row r="623" spans="1:1">
      <c r="A623" s="4">
        <v>44452</v>
      </c>
    </row>
    <row r="624" spans="1:1">
      <c r="A624" s="4">
        <v>44453</v>
      </c>
    </row>
    <row r="625" spans="1:1">
      <c r="A625" s="4">
        <v>44454</v>
      </c>
    </row>
    <row r="626" spans="1:1">
      <c r="A626" s="4">
        <v>44455</v>
      </c>
    </row>
    <row r="627" spans="1:1">
      <c r="A627" s="4">
        <v>44456</v>
      </c>
    </row>
    <row r="628" spans="1:1">
      <c r="A628" s="4">
        <v>44457</v>
      </c>
    </row>
    <row r="629" spans="1:1">
      <c r="A629" s="4">
        <v>44458</v>
      </c>
    </row>
    <row r="630" spans="1:1">
      <c r="A630" s="4">
        <v>44459</v>
      </c>
    </row>
    <row r="631" spans="1:1">
      <c r="A631" s="4">
        <v>44460</v>
      </c>
    </row>
    <row r="632" spans="1:1">
      <c r="A632" s="4">
        <v>44461</v>
      </c>
    </row>
    <row r="633" spans="1:1">
      <c r="A633" s="4">
        <v>44462</v>
      </c>
    </row>
    <row r="634" spans="1:1">
      <c r="A634" s="4">
        <v>44463</v>
      </c>
    </row>
    <row r="635" spans="1:1">
      <c r="A635" s="4">
        <v>44464</v>
      </c>
    </row>
    <row r="636" spans="1:1">
      <c r="A636" s="4">
        <v>44465</v>
      </c>
    </row>
    <row r="637" spans="1:1">
      <c r="A637" s="4">
        <v>44466</v>
      </c>
    </row>
    <row r="638" spans="1:1">
      <c r="A638" s="4">
        <v>44467</v>
      </c>
    </row>
    <row r="639" spans="1:1">
      <c r="A639" s="4">
        <v>44468</v>
      </c>
    </row>
    <row r="640" spans="1:1">
      <c r="A640" s="4">
        <v>44469</v>
      </c>
    </row>
    <row r="641" spans="1:1">
      <c r="A641" s="4">
        <v>44470</v>
      </c>
    </row>
    <row r="642" spans="1:1">
      <c r="A642" s="4">
        <v>44471</v>
      </c>
    </row>
    <row r="643" spans="1:1">
      <c r="A643" s="4">
        <v>44472</v>
      </c>
    </row>
    <row r="644" spans="1:1">
      <c r="A644" s="4">
        <v>44473</v>
      </c>
    </row>
    <row r="645" spans="1:1">
      <c r="A645" s="4">
        <v>44474</v>
      </c>
    </row>
    <row r="646" spans="1:1">
      <c r="A646" s="4">
        <v>44475</v>
      </c>
    </row>
    <row r="647" spans="1:1">
      <c r="A647" s="4">
        <v>44476</v>
      </c>
    </row>
    <row r="648" spans="1:1">
      <c r="A648" s="4">
        <v>44477</v>
      </c>
    </row>
    <row r="649" spans="1:1">
      <c r="A649" s="4">
        <v>44478</v>
      </c>
    </row>
    <row r="650" spans="1:1">
      <c r="A650" s="4">
        <v>44479</v>
      </c>
    </row>
    <row r="651" spans="1:1">
      <c r="A651" s="4">
        <v>44480</v>
      </c>
    </row>
    <row r="652" spans="1:1">
      <c r="A652" s="4">
        <v>44481</v>
      </c>
    </row>
    <row r="653" spans="1:1">
      <c r="A653" s="4">
        <v>44482</v>
      </c>
    </row>
    <row r="654" spans="1:1">
      <c r="A654" s="4">
        <v>44483</v>
      </c>
    </row>
    <row r="655" spans="1:1">
      <c r="A655" s="4">
        <v>44484</v>
      </c>
    </row>
    <row r="656" spans="1:1">
      <c r="A656" s="4">
        <v>44485</v>
      </c>
    </row>
    <row r="657" spans="1:1">
      <c r="A657" s="4">
        <v>44486</v>
      </c>
    </row>
    <row r="658" spans="1:1">
      <c r="A658" s="4">
        <v>44487</v>
      </c>
    </row>
    <row r="659" spans="1:1">
      <c r="A659" s="4">
        <v>44488</v>
      </c>
    </row>
    <row r="660" spans="1:1">
      <c r="A660" s="4">
        <v>44489</v>
      </c>
    </row>
    <row r="661" spans="1:1">
      <c r="A661" s="4">
        <v>44490</v>
      </c>
    </row>
    <row r="662" spans="1:1">
      <c r="A662" s="4">
        <v>44491</v>
      </c>
    </row>
    <row r="663" spans="1:1">
      <c r="A663" s="4">
        <v>44492</v>
      </c>
    </row>
    <row r="664" spans="1:1">
      <c r="A664" s="4">
        <v>44493</v>
      </c>
    </row>
    <row r="665" spans="1:1">
      <c r="A665" s="4">
        <v>44494</v>
      </c>
    </row>
    <row r="666" spans="1:1">
      <c r="A666" s="4">
        <v>44495</v>
      </c>
    </row>
    <row r="667" spans="1:1">
      <c r="A667" s="4">
        <v>44496</v>
      </c>
    </row>
    <row r="668" spans="1:1">
      <c r="A668" s="4">
        <v>44497</v>
      </c>
    </row>
    <row r="669" spans="1:1">
      <c r="A669" s="4">
        <v>44498</v>
      </c>
    </row>
    <row r="670" spans="1:1">
      <c r="A670" s="4">
        <v>44499</v>
      </c>
    </row>
    <row r="671" spans="1:1">
      <c r="A671" s="4">
        <v>44500</v>
      </c>
    </row>
    <row r="672" spans="1:1">
      <c r="A672" s="4">
        <v>44501</v>
      </c>
    </row>
    <row r="673" spans="1:1">
      <c r="A673" s="4">
        <v>44502</v>
      </c>
    </row>
    <row r="674" spans="1:1">
      <c r="A674" s="4">
        <v>44503</v>
      </c>
    </row>
    <row r="675" spans="1:1">
      <c r="A675" s="4">
        <v>44504</v>
      </c>
    </row>
    <row r="676" spans="1:1">
      <c r="A676" s="4">
        <v>44505</v>
      </c>
    </row>
    <row r="677" spans="1:1">
      <c r="A677" s="4">
        <v>44506</v>
      </c>
    </row>
    <row r="678" spans="1:1">
      <c r="A678" s="4">
        <v>44507</v>
      </c>
    </row>
    <row r="679" spans="1:1">
      <c r="A679" s="4">
        <v>44508</v>
      </c>
    </row>
    <row r="680" spans="1:1">
      <c r="A680" s="4">
        <v>44509</v>
      </c>
    </row>
    <row r="681" spans="1:1">
      <c r="A681" s="4">
        <v>44510</v>
      </c>
    </row>
    <row r="682" spans="1:1">
      <c r="A682" s="4">
        <v>44511</v>
      </c>
    </row>
    <row r="683" spans="1:1">
      <c r="A683" s="4">
        <v>44512</v>
      </c>
    </row>
    <row r="684" spans="1:1">
      <c r="A684" s="4">
        <v>44513</v>
      </c>
    </row>
    <row r="685" spans="1:1">
      <c r="A685" s="4">
        <v>44514</v>
      </c>
    </row>
    <row r="686" spans="1:1">
      <c r="A686" s="4">
        <v>44515</v>
      </c>
    </row>
    <row r="687" spans="1:1">
      <c r="A687" s="4">
        <v>44516</v>
      </c>
    </row>
    <row r="688" spans="1:1">
      <c r="A688" s="4">
        <v>44517</v>
      </c>
    </row>
    <row r="689" spans="1:1">
      <c r="A689" s="4">
        <v>44518</v>
      </c>
    </row>
    <row r="690" spans="1:1">
      <c r="A690" s="4">
        <v>44519</v>
      </c>
    </row>
    <row r="691" spans="1:1">
      <c r="A691" s="4">
        <v>44520</v>
      </c>
    </row>
    <row r="692" spans="1:1">
      <c r="A692" s="4">
        <v>44521</v>
      </c>
    </row>
    <row r="693" spans="1:1">
      <c r="A693" s="4">
        <v>44522</v>
      </c>
    </row>
    <row r="694" spans="1:1">
      <c r="A694" s="4">
        <v>44523</v>
      </c>
    </row>
    <row r="695" spans="1:1">
      <c r="A695" s="4">
        <v>44524</v>
      </c>
    </row>
    <row r="696" spans="1:1">
      <c r="A696" s="4">
        <v>44525</v>
      </c>
    </row>
    <row r="697" spans="1:1">
      <c r="A697" s="4">
        <v>44526</v>
      </c>
    </row>
    <row r="698" spans="1:1">
      <c r="A698" s="4">
        <v>44527</v>
      </c>
    </row>
    <row r="699" spans="1:1">
      <c r="A699" s="4">
        <v>44528</v>
      </c>
    </row>
    <row r="700" spans="1:1">
      <c r="A700" s="4">
        <v>44529</v>
      </c>
    </row>
    <row r="701" spans="1:1">
      <c r="A701" s="4">
        <v>44530</v>
      </c>
    </row>
    <row r="702" spans="1:1">
      <c r="A702" s="4">
        <v>44531</v>
      </c>
    </row>
    <row r="703" spans="1:1">
      <c r="A703" s="4">
        <v>44532</v>
      </c>
    </row>
    <row r="704" spans="1:1">
      <c r="A704" s="4">
        <v>44533</v>
      </c>
    </row>
    <row r="705" spans="1:1">
      <c r="A705" s="4">
        <v>44534</v>
      </c>
    </row>
    <row r="706" spans="1:1">
      <c r="A706" s="4">
        <v>44535</v>
      </c>
    </row>
    <row r="707" spans="1:1">
      <c r="A707" s="4">
        <v>44536</v>
      </c>
    </row>
    <row r="708" spans="1:1">
      <c r="A708" s="4">
        <v>44537</v>
      </c>
    </row>
    <row r="709" spans="1:1">
      <c r="A709" s="4">
        <v>44538</v>
      </c>
    </row>
    <row r="710" spans="1:1">
      <c r="A710" s="4">
        <v>44539</v>
      </c>
    </row>
    <row r="711" spans="1:1">
      <c r="A711" s="4">
        <v>44540</v>
      </c>
    </row>
    <row r="712" spans="1:1">
      <c r="A712" s="4">
        <v>44541</v>
      </c>
    </row>
    <row r="713" spans="1:1">
      <c r="A713" s="4">
        <v>44542</v>
      </c>
    </row>
    <row r="714" spans="1:1">
      <c r="A714" s="4">
        <v>44543</v>
      </c>
    </row>
    <row r="715" spans="1:1">
      <c r="A715" s="4">
        <v>44544</v>
      </c>
    </row>
    <row r="716" spans="1:1">
      <c r="A716" s="4">
        <v>44545</v>
      </c>
    </row>
    <row r="717" spans="1:1">
      <c r="A717" s="4">
        <v>44546</v>
      </c>
    </row>
    <row r="718" spans="1:1">
      <c r="A718" s="4">
        <v>44547</v>
      </c>
    </row>
    <row r="719" spans="1:1">
      <c r="A719" s="4">
        <v>44548</v>
      </c>
    </row>
    <row r="720" spans="1:1">
      <c r="A720" s="4">
        <v>44549</v>
      </c>
    </row>
    <row r="721" spans="1:1">
      <c r="A721" s="4">
        <v>44550</v>
      </c>
    </row>
    <row r="722" spans="1:1">
      <c r="A722" s="4">
        <v>44551</v>
      </c>
    </row>
    <row r="723" spans="1:1">
      <c r="A723" s="4">
        <v>44552</v>
      </c>
    </row>
    <row r="724" spans="1:1">
      <c r="A724" s="4">
        <v>44553</v>
      </c>
    </row>
    <row r="725" spans="1:1">
      <c r="A725" s="4">
        <v>44554</v>
      </c>
    </row>
    <row r="726" spans="1:1">
      <c r="A726" s="4">
        <v>44555</v>
      </c>
    </row>
    <row r="727" spans="1:1">
      <c r="A727" s="4">
        <v>44556</v>
      </c>
    </row>
    <row r="728" spans="1:1">
      <c r="A728" s="4">
        <v>44557</v>
      </c>
    </row>
    <row r="729" spans="1:1">
      <c r="A729" s="4">
        <v>44558</v>
      </c>
    </row>
    <row r="730" spans="1:1">
      <c r="A730" s="4">
        <v>44559</v>
      </c>
    </row>
    <row r="731" spans="1:1">
      <c r="A731" s="4">
        <v>44560</v>
      </c>
    </row>
    <row r="732" spans="1:1">
      <c r="A732" s="4">
        <v>44561</v>
      </c>
    </row>
    <row r="733" spans="1:1">
      <c r="A733" s="4">
        <v>44562</v>
      </c>
    </row>
    <row r="734" spans="1:1">
      <c r="A734" s="4">
        <v>44563</v>
      </c>
    </row>
    <row r="735" spans="1:1">
      <c r="A735" s="4">
        <v>44564</v>
      </c>
    </row>
    <row r="736" spans="1:1">
      <c r="A736" s="4">
        <v>44565</v>
      </c>
    </row>
    <row r="737" spans="1:1">
      <c r="A737" s="4">
        <v>44566</v>
      </c>
    </row>
    <row r="738" spans="1:1">
      <c r="A738" s="4">
        <v>44567</v>
      </c>
    </row>
    <row r="739" spans="1:1">
      <c r="A739" s="4">
        <v>44568</v>
      </c>
    </row>
    <row r="740" spans="1:1">
      <c r="A740" s="4">
        <v>44569</v>
      </c>
    </row>
    <row r="741" spans="1:1">
      <c r="A741" s="4">
        <v>44570</v>
      </c>
    </row>
    <row r="742" spans="1:1">
      <c r="A742" s="4">
        <v>44571</v>
      </c>
    </row>
    <row r="743" spans="1:1">
      <c r="A743" s="4">
        <v>44572</v>
      </c>
    </row>
    <row r="744" spans="1:1">
      <c r="A744" s="4">
        <v>44573</v>
      </c>
    </row>
    <row r="745" spans="1:1">
      <c r="A745" s="4">
        <v>44574</v>
      </c>
    </row>
    <row r="746" spans="1:1">
      <c r="A746" s="4">
        <v>44575</v>
      </c>
    </row>
    <row r="747" spans="1:1">
      <c r="A747" s="4">
        <v>44576</v>
      </c>
    </row>
    <row r="748" spans="1:1">
      <c r="A748" s="4">
        <v>44577</v>
      </c>
    </row>
    <row r="749" spans="1:1">
      <c r="A749" s="4">
        <v>44578</v>
      </c>
    </row>
    <row r="750" spans="1:1">
      <c r="A750" s="4">
        <v>44579</v>
      </c>
    </row>
    <row r="751" spans="1:1">
      <c r="A751" s="4">
        <v>44580</v>
      </c>
    </row>
    <row r="752" spans="1:1">
      <c r="A752" s="4">
        <v>44581</v>
      </c>
    </row>
    <row r="753" spans="1:1">
      <c r="A753" s="4">
        <v>44582</v>
      </c>
    </row>
    <row r="754" spans="1:1">
      <c r="A754" s="4">
        <v>44583</v>
      </c>
    </row>
    <row r="755" spans="1:1">
      <c r="A755" s="4">
        <v>44584</v>
      </c>
    </row>
    <row r="756" spans="1:1">
      <c r="A756" s="4">
        <v>44585</v>
      </c>
    </row>
    <row r="757" spans="1:1">
      <c r="A757" s="4">
        <v>44586</v>
      </c>
    </row>
    <row r="758" spans="1:1">
      <c r="A758" s="4">
        <v>44587</v>
      </c>
    </row>
    <row r="759" spans="1:1">
      <c r="A759" s="4">
        <v>44588</v>
      </c>
    </row>
    <row r="760" spans="1:1">
      <c r="A760" s="4">
        <v>44589</v>
      </c>
    </row>
    <row r="761" spans="1:1">
      <c r="A761" s="4">
        <v>44590</v>
      </c>
    </row>
    <row r="762" spans="1:1">
      <c r="A762" s="4">
        <v>44591</v>
      </c>
    </row>
    <row r="763" spans="1:1">
      <c r="A763" s="4">
        <v>44592</v>
      </c>
    </row>
    <row r="764" spans="1:1">
      <c r="A764" s="4">
        <v>44593</v>
      </c>
    </row>
    <row r="765" spans="1:1">
      <c r="A765" s="4">
        <v>44594</v>
      </c>
    </row>
    <row r="766" spans="1:1">
      <c r="A766" s="4">
        <v>44595</v>
      </c>
    </row>
    <row r="767" spans="1:1">
      <c r="A767" s="4">
        <v>44596</v>
      </c>
    </row>
    <row r="768" spans="1:1">
      <c r="A768" s="4">
        <v>44597</v>
      </c>
    </row>
    <row r="769" spans="1:1">
      <c r="A769" s="4">
        <v>44598</v>
      </c>
    </row>
    <row r="770" spans="1:1">
      <c r="A770" s="4">
        <v>44599</v>
      </c>
    </row>
    <row r="771" spans="1:1">
      <c r="A771" s="4">
        <v>44600</v>
      </c>
    </row>
    <row r="772" spans="1:1">
      <c r="A772" s="4">
        <v>44601</v>
      </c>
    </row>
    <row r="773" spans="1:1">
      <c r="A773" s="4">
        <v>44602</v>
      </c>
    </row>
    <row r="774" spans="1:1">
      <c r="A774" s="4">
        <v>44603</v>
      </c>
    </row>
    <row r="775" spans="1:1">
      <c r="A775" s="4">
        <v>44604</v>
      </c>
    </row>
    <row r="776" spans="1:1">
      <c r="A776" s="4">
        <v>44605</v>
      </c>
    </row>
    <row r="777" spans="1:1">
      <c r="A777" s="4">
        <v>44606</v>
      </c>
    </row>
    <row r="778" spans="1:1">
      <c r="A778" s="4">
        <v>44607</v>
      </c>
    </row>
    <row r="779" spans="1:1">
      <c r="A779" s="4">
        <v>44608</v>
      </c>
    </row>
    <row r="780" spans="1:1">
      <c r="A780" s="4">
        <v>44609</v>
      </c>
    </row>
    <row r="781" spans="1:1">
      <c r="A781" s="4">
        <v>44610</v>
      </c>
    </row>
    <row r="782" spans="1:1">
      <c r="A782" s="4">
        <v>44611</v>
      </c>
    </row>
    <row r="783" spans="1:1">
      <c r="A783" s="4">
        <v>44612</v>
      </c>
    </row>
    <row r="784" spans="1:1">
      <c r="A784" s="4">
        <v>44613</v>
      </c>
    </row>
    <row r="785" spans="1:1">
      <c r="A785" s="4">
        <v>44614</v>
      </c>
    </row>
    <row r="786" spans="1:1">
      <c r="A786" s="4">
        <v>44615</v>
      </c>
    </row>
    <row r="787" spans="1:1">
      <c r="A787" s="4">
        <v>44616</v>
      </c>
    </row>
    <row r="788" spans="1:1">
      <c r="A788" s="4">
        <v>44617</v>
      </c>
    </row>
    <row r="789" spans="1:1">
      <c r="A789" s="4">
        <v>44618</v>
      </c>
    </row>
    <row r="790" spans="1:1">
      <c r="A790" s="4">
        <v>44619</v>
      </c>
    </row>
    <row r="791" spans="1:1">
      <c r="A791" s="4">
        <v>44620</v>
      </c>
    </row>
    <row r="792" spans="1:1">
      <c r="A792" s="4">
        <v>44621</v>
      </c>
    </row>
    <row r="793" spans="1:1">
      <c r="A793" s="4">
        <v>44622</v>
      </c>
    </row>
    <row r="794" spans="1:1">
      <c r="A794" s="4">
        <v>44623</v>
      </c>
    </row>
    <row r="795" spans="1:1">
      <c r="A795" s="4">
        <v>44624</v>
      </c>
    </row>
    <row r="796" spans="1:1">
      <c r="A796" s="4">
        <v>44625</v>
      </c>
    </row>
    <row r="797" spans="1:1">
      <c r="A797" s="4">
        <v>44626</v>
      </c>
    </row>
    <row r="798" spans="1:1">
      <c r="A798" s="4">
        <v>44627</v>
      </c>
    </row>
    <row r="799" spans="1:1">
      <c r="A799" s="4">
        <v>44628</v>
      </c>
    </row>
    <row r="800" spans="1:1">
      <c r="A800" s="4">
        <v>44629</v>
      </c>
    </row>
    <row r="801" spans="1:1">
      <c r="A801" s="4">
        <v>44630</v>
      </c>
    </row>
    <row r="802" spans="1:1">
      <c r="A802" s="4">
        <v>44631</v>
      </c>
    </row>
    <row r="803" spans="1:1">
      <c r="A803" s="4">
        <v>44632</v>
      </c>
    </row>
    <row r="804" spans="1:1">
      <c r="A804" s="4">
        <v>44633</v>
      </c>
    </row>
    <row r="805" spans="1:1">
      <c r="A805" s="4">
        <v>44634</v>
      </c>
    </row>
    <row r="806" spans="1:1">
      <c r="A806" s="4">
        <v>44635</v>
      </c>
    </row>
    <row r="807" spans="1:1">
      <c r="A807" s="4">
        <v>44636</v>
      </c>
    </row>
    <row r="808" spans="1:1">
      <c r="A808" s="4">
        <v>44637</v>
      </c>
    </row>
    <row r="809" spans="1:1">
      <c r="A809" s="4">
        <v>44638</v>
      </c>
    </row>
    <row r="810" spans="1:1">
      <c r="A810" s="4">
        <v>44639</v>
      </c>
    </row>
    <row r="811" spans="1:1">
      <c r="A811" s="4">
        <v>44640</v>
      </c>
    </row>
    <row r="812" spans="1:1">
      <c r="A812" s="4">
        <v>44641</v>
      </c>
    </row>
    <row r="813" spans="1:1">
      <c r="A813" s="4">
        <v>44642</v>
      </c>
    </row>
    <row r="814" spans="1:1">
      <c r="A814" s="4">
        <v>44643</v>
      </c>
    </row>
    <row r="815" spans="1:1">
      <c r="A815" s="4">
        <v>44644</v>
      </c>
    </row>
    <row r="816" spans="1:1">
      <c r="A816" s="4">
        <v>44645</v>
      </c>
    </row>
    <row r="817" spans="1:1">
      <c r="A817" s="4">
        <v>44646</v>
      </c>
    </row>
    <row r="818" spans="1:1">
      <c r="A818" s="4">
        <v>44647</v>
      </c>
    </row>
    <row r="819" spans="1:1">
      <c r="A819" s="4">
        <v>44648</v>
      </c>
    </row>
    <row r="820" spans="1:1">
      <c r="A820" s="4">
        <v>44649</v>
      </c>
    </row>
    <row r="821" spans="1:1">
      <c r="A821" s="4">
        <v>44650</v>
      </c>
    </row>
    <row r="822" spans="1:1">
      <c r="A822" s="4">
        <v>44651</v>
      </c>
    </row>
    <row r="823" spans="1:1">
      <c r="A823" s="4">
        <v>44652</v>
      </c>
    </row>
    <row r="824" spans="1:1">
      <c r="A824" s="4">
        <v>44653</v>
      </c>
    </row>
    <row r="825" spans="1:1">
      <c r="A825" s="4">
        <v>44654</v>
      </c>
    </row>
    <row r="826" spans="1:1">
      <c r="A826" s="4">
        <v>44655</v>
      </c>
    </row>
    <row r="827" spans="1:1">
      <c r="A827" s="4">
        <v>44656</v>
      </c>
    </row>
    <row r="828" spans="1:1">
      <c r="A828" s="4">
        <v>44657</v>
      </c>
    </row>
    <row r="829" spans="1:1">
      <c r="A829" s="4">
        <v>44658</v>
      </c>
    </row>
    <row r="830" spans="1:1">
      <c r="A830" s="4">
        <v>44659</v>
      </c>
    </row>
    <row r="831" spans="1:1">
      <c r="A831" s="4">
        <v>44660</v>
      </c>
    </row>
    <row r="832" spans="1:1">
      <c r="A832" s="4">
        <v>44661</v>
      </c>
    </row>
    <row r="833" spans="1:1">
      <c r="A833" s="4">
        <v>44662</v>
      </c>
    </row>
    <row r="834" spans="1:1">
      <c r="A834" s="4">
        <v>44663</v>
      </c>
    </row>
    <row r="835" spans="1:1">
      <c r="A835" s="4">
        <v>44664</v>
      </c>
    </row>
    <row r="836" spans="1:1">
      <c r="A836" s="4">
        <v>44665</v>
      </c>
    </row>
    <row r="837" spans="1:1">
      <c r="A837" s="4">
        <v>44666</v>
      </c>
    </row>
    <row r="838" spans="1:1">
      <c r="A838" s="4">
        <v>44667</v>
      </c>
    </row>
    <row r="839" spans="1:1">
      <c r="A839" s="4">
        <v>44668</v>
      </c>
    </row>
    <row r="840" spans="1:1">
      <c r="A840" s="4">
        <v>44669</v>
      </c>
    </row>
    <row r="841" spans="1:1">
      <c r="A841" s="4">
        <v>44670</v>
      </c>
    </row>
    <row r="842" spans="1:1">
      <c r="A842" s="4">
        <v>44671</v>
      </c>
    </row>
    <row r="843" spans="1:1">
      <c r="A843" s="4">
        <v>44672</v>
      </c>
    </row>
    <row r="844" spans="1:1">
      <c r="A844" s="4">
        <v>44673</v>
      </c>
    </row>
    <row r="845" spans="1:1">
      <c r="A845" s="4">
        <v>44674</v>
      </c>
    </row>
    <row r="846" spans="1:1">
      <c r="A846" s="4">
        <v>44675</v>
      </c>
    </row>
    <row r="847" spans="1:1">
      <c r="A847" s="4">
        <v>44676</v>
      </c>
    </row>
    <row r="848" spans="1:1">
      <c r="A848" s="4">
        <v>44677</v>
      </c>
    </row>
    <row r="849" spans="1:1">
      <c r="A849" s="4">
        <v>44678</v>
      </c>
    </row>
    <row r="850" spans="1:1">
      <c r="A850" s="4">
        <v>44679</v>
      </c>
    </row>
    <row r="851" spans="1:1">
      <c r="A851" s="4">
        <v>44680</v>
      </c>
    </row>
    <row r="852" spans="1:1">
      <c r="A852" s="4">
        <v>44681</v>
      </c>
    </row>
    <row r="853" spans="1:1">
      <c r="A853" s="4">
        <v>44682</v>
      </c>
    </row>
    <row r="854" spans="1:1">
      <c r="A854" s="4">
        <v>44683</v>
      </c>
    </row>
    <row r="855" spans="1:1">
      <c r="A855" s="4">
        <v>44684</v>
      </c>
    </row>
    <row r="856" spans="1:1">
      <c r="A856" s="4">
        <v>44685</v>
      </c>
    </row>
    <row r="857" spans="1:1">
      <c r="A857" s="4">
        <v>44686</v>
      </c>
    </row>
    <row r="858" spans="1:1">
      <c r="A858" s="4">
        <v>44687</v>
      </c>
    </row>
    <row r="859" spans="1:1">
      <c r="A859" s="4">
        <v>44688</v>
      </c>
    </row>
    <row r="860" spans="1:1">
      <c r="A860" s="4">
        <v>44689</v>
      </c>
    </row>
    <row r="861" spans="1:1">
      <c r="A861" s="4">
        <v>44690</v>
      </c>
    </row>
    <row r="862" spans="1:1">
      <c r="A862" s="4">
        <v>44691</v>
      </c>
    </row>
    <row r="863" spans="1:1">
      <c r="A863" s="4">
        <v>44692</v>
      </c>
    </row>
    <row r="864" spans="1:1">
      <c r="A864" s="4">
        <v>44693</v>
      </c>
    </row>
    <row r="865" spans="1:1">
      <c r="A865" s="4">
        <v>44694</v>
      </c>
    </row>
    <row r="866" spans="1:1">
      <c r="A866" s="4">
        <v>44695</v>
      </c>
    </row>
    <row r="867" spans="1:1">
      <c r="A867" s="4">
        <v>44696</v>
      </c>
    </row>
    <row r="868" spans="1:1">
      <c r="A868" s="4">
        <v>44697</v>
      </c>
    </row>
    <row r="869" spans="1:1">
      <c r="A869" s="4">
        <v>44698</v>
      </c>
    </row>
    <row r="870" spans="1:1">
      <c r="A870" s="4">
        <v>44699</v>
      </c>
    </row>
    <row r="871" spans="1:1">
      <c r="A871" s="4">
        <v>44700</v>
      </c>
    </row>
    <row r="872" spans="1:1">
      <c r="A872" s="4">
        <v>44701</v>
      </c>
    </row>
    <row r="873" spans="1:1">
      <c r="A873" s="4">
        <v>44702</v>
      </c>
    </row>
    <row r="874" spans="1:1">
      <c r="A874" s="4">
        <v>44703</v>
      </c>
    </row>
    <row r="875" spans="1:1">
      <c r="A875" s="4">
        <v>44704</v>
      </c>
    </row>
    <row r="876" spans="1:1">
      <c r="A876" s="4">
        <v>44705</v>
      </c>
    </row>
    <row r="877" spans="1:1">
      <c r="A877" s="4">
        <v>44706</v>
      </c>
    </row>
    <row r="878" spans="1:1">
      <c r="A878" s="4">
        <v>44707</v>
      </c>
    </row>
    <row r="879" spans="1:1">
      <c r="A879" s="4">
        <v>44708</v>
      </c>
    </row>
    <row r="880" spans="1:1">
      <c r="A880" s="4">
        <v>44709</v>
      </c>
    </row>
    <row r="881" spans="1:1">
      <c r="A881" s="4">
        <v>44710</v>
      </c>
    </row>
    <row r="882" spans="1:1">
      <c r="A882" s="4">
        <v>44711</v>
      </c>
    </row>
    <row r="883" spans="1:1">
      <c r="A883" s="4">
        <v>44712</v>
      </c>
    </row>
    <row r="884" spans="1:1">
      <c r="A884" s="4">
        <v>44713</v>
      </c>
    </row>
    <row r="885" spans="1:1">
      <c r="A885" s="4">
        <v>44714</v>
      </c>
    </row>
    <row r="886" spans="1:1">
      <c r="A886" s="4">
        <v>44715</v>
      </c>
    </row>
    <row r="887" spans="1:1">
      <c r="A887" s="4">
        <v>44716</v>
      </c>
    </row>
    <row r="888" spans="1:1">
      <c r="A888" s="4">
        <v>44717</v>
      </c>
    </row>
    <row r="889" spans="1:1">
      <c r="A889" s="4">
        <v>44718</v>
      </c>
    </row>
    <row r="890" spans="1:1">
      <c r="A890" s="4">
        <v>44719</v>
      </c>
    </row>
    <row r="891" spans="1:1">
      <c r="A891" s="4">
        <v>44720</v>
      </c>
    </row>
    <row r="892" spans="1:1">
      <c r="A892" s="4">
        <v>44721</v>
      </c>
    </row>
    <row r="893" spans="1:1">
      <c r="A893" s="4">
        <v>44722</v>
      </c>
    </row>
    <row r="894" spans="1:1">
      <c r="A894" s="4">
        <v>44723</v>
      </c>
    </row>
    <row r="895" spans="1:1">
      <c r="A895" s="4">
        <v>44724</v>
      </c>
    </row>
    <row r="896" spans="1:1">
      <c r="A896" s="4">
        <v>44725</v>
      </c>
    </row>
    <row r="897" spans="1:1">
      <c r="A897" s="4">
        <v>44726</v>
      </c>
    </row>
    <row r="898" spans="1:1">
      <c r="A898" s="4">
        <v>44727</v>
      </c>
    </row>
    <row r="899" spans="1:1">
      <c r="A899" s="4">
        <v>44728</v>
      </c>
    </row>
    <row r="900" spans="1:1">
      <c r="A900" s="4">
        <v>44729</v>
      </c>
    </row>
    <row r="901" spans="1:1">
      <c r="A901" s="4">
        <v>44730</v>
      </c>
    </row>
    <row r="902" spans="1:1">
      <c r="A902" s="4">
        <v>44731</v>
      </c>
    </row>
    <row r="903" spans="1:1">
      <c r="A903" s="4">
        <v>44732</v>
      </c>
    </row>
    <row r="904" spans="1:1">
      <c r="A904" s="4">
        <v>44733</v>
      </c>
    </row>
    <row r="905" spans="1:1">
      <c r="A905" s="4">
        <v>44734</v>
      </c>
    </row>
    <row r="906" spans="1:1">
      <c r="A906" s="4">
        <v>44735</v>
      </c>
    </row>
    <row r="907" spans="1:1">
      <c r="A907" s="4">
        <v>44736</v>
      </c>
    </row>
    <row r="908" spans="1:1">
      <c r="A908" s="4">
        <v>44737</v>
      </c>
    </row>
    <row r="909" spans="1:1">
      <c r="A909" s="4">
        <v>44738</v>
      </c>
    </row>
    <row r="910" spans="1:1">
      <c r="A910" s="4">
        <v>44739</v>
      </c>
    </row>
    <row r="911" spans="1:1">
      <c r="A911" s="4">
        <v>44740</v>
      </c>
    </row>
    <row r="912" spans="1:1">
      <c r="A912" s="4">
        <v>44741</v>
      </c>
    </row>
    <row r="913" spans="1:1">
      <c r="A913" s="4">
        <v>44742</v>
      </c>
    </row>
    <row r="914" spans="1:1">
      <c r="A914" s="4">
        <v>44743</v>
      </c>
    </row>
    <row r="915" spans="1:1">
      <c r="A915" s="4">
        <v>44744</v>
      </c>
    </row>
    <row r="916" spans="1:1">
      <c r="A916" s="4">
        <v>44745</v>
      </c>
    </row>
    <row r="917" spans="1:1">
      <c r="A917" s="4">
        <v>44746</v>
      </c>
    </row>
    <row r="918" spans="1:1">
      <c r="A918" s="4">
        <v>44747</v>
      </c>
    </row>
    <row r="919" spans="1:1">
      <c r="A919" s="4">
        <v>44748</v>
      </c>
    </row>
    <row r="920" spans="1:1">
      <c r="A920" s="4">
        <v>44749</v>
      </c>
    </row>
    <row r="921" spans="1:1">
      <c r="A921" s="4">
        <v>44750</v>
      </c>
    </row>
    <row r="922" spans="1:1">
      <c r="A922" s="4">
        <v>44751</v>
      </c>
    </row>
    <row r="923" spans="1:1">
      <c r="A923" s="4">
        <v>44752</v>
      </c>
    </row>
    <row r="924" spans="1:1">
      <c r="A924" s="4">
        <v>44753</v>
      </c>
    </row>
    <row r="925" spans="1:1">
      <c r="A925" s="4">
        <v>44754</v>
      </c>
    </row>
    <row r="926" spans="1:1">
      <c r="A926" s="4">
        <v>44755</v>
      </c>
    </row>
    <row r="927" spans="1:1">
      <c r="A927" s="4">
        <v>44756</v>
      </c>
    </row>
    <row r="928" spans="1:1">
      <c r="A928" s="4">
        <v>44757</v>
      </c>
    </row>
    <row r="929" spans="1:1">
      <c r="A929" s="4">
        <v>44758</v>
      </c>
    </row>
    <row r="930" spans="1:1">
      <c r="A930" s="4">
        <v>44759</v>
      </c>
    </row>
    <row r="931" spans="1:1">
      <c r="A931" s="4">
        <v>44760</v>
      </c>
    </row>
    <row r="932" spans="1:1">
      <c r="A932" s="4">
        <v>44761</v>
      </c>
    </row>
    <row r="933" spans="1:1">
      <c r="A933" s="4">
        <v>44762</v>
      </c>
    </row>
    <row r="934" spans="1:1">
      <c r="A934" s="4">
        <v>44763</v>
      </c>
    </row>
    <row r="935" spans="1:1">
      <c r="A935" s="4">
        <v>44764</v>
      </c>
    </row>
    <row r="936" spans="1:1">
      <c r="A936" s="4">
        <v>44765</v>
      </c>
    </row>
    <row r="937" spans="1:1">
      <c r="A937" s="4">
        <v>44766</v>
      </c>
    </row>
    <row r="938" spans="1:1">
      <c r="A938" s="4">
        <v>44767</v>
      </c>
    </row>
    <row r="939" spans="1:1">
      <c r="A939" s="4">
        <v>44768</v>
      </c>
    </row>
    <row r="940" spans="1:1">
      <c r="A940" s="4">
        <v>44769</v>
      </c>
    </row>
    <row r="941" spans="1:1">
      <c r="A941" s="4">
        <v>44770</v>
      </c>
    </row>
    <row r="942" spans="1:1">
      <c r="A942" s="4">
        <v>44771</v>
      </c>
    </row>
    <row r="943" spans="1:1">
      <c r="A943" s="4">
        <v>44772</v>
      </c>
    </row>
    <row r="944" spans="1:1">
      <c r="A944" s="4">
        <v>44773</v>
      </c>
    </row>
    <row r="945" spans="1:1">
      <c r="A945" s="4">
        <v>44774</v>
      </c>
    </row>
    <row r="946" spans="1:1">
      <c r="A946" s="4">
        <v>44775</v>
      </c>
    </row>
    <row r="947" spans="1:1">
      <c r="A947" s="4">
        <v>44776</v>
      </c>
    </row>
    <row r="948" spans="1:1">
      <c r="A948" s="4">
        <v>44777</v>
      </c>
    </row>
    <row r="949" spans="1:1">
      <c r="A949" s="4">
        <v>44778</v>
      </c>
    </row>
    <row r="950" spans="1:1">
      <c r="A950" s="4">
        <v>44779</v>
      </c>
    </row>
    <row r="951" spans="1:1">
      <c r="A951" s="4">
        <v>44780</v>
      </c>
    </row>
    <row r="952" spans="1:1">
      <c r="A952" s="4">
        <v>44781</v>
      </c>
    </row>
    <row r="953" spans="1:1">
      <c r="A953" s="4">
        <v>44782</v>
      </c>
    </row>
    <row r="954" spans="1:1">
      <c r="A954" s="4">
        <v>44783</v>
      </c>
    </row>
    <row r="955" spans="1:1">
      <c r="A955" s="4">
        <v>44784</v>
      </c>
    </row>
    <row r="956" spans="1:1">
      <c r="A956" s="4">
        <v>44785</v>
      </c>
    </row>
    <row r="957" spans="1:1">
      <c r="A957" s="4">
        <v>44786</v>
      </c>
    </row>
    <row r="958" spans="1:1">
      <c r="A958" s="4">
        <v>44787</v>
      </c>
    </row>
    <row r="959" spans="1:1">
      <c r="A959" s="4">
        <v>44788</v>
      </c>
    </row>
    <row r="960" spans="1:1">
      <c r="A960" s="4">
        <v>44789</v>
      </c>
    </row>
    <row r="961" spans="1:1">
      <c r="A961" s="4">
        <v>44790</v>
      </c>
    </row>
    <row r="962" spans="1:1">
      <c r="A962" s="4">
        <v>44791</v>
      </c>
    </row>
    <row r="963" spans="1:1">
      <c r="A963" s="4">
        <v>44792</v>
      </c>
    </row>
    <row r="964" spans="1:1">
      <c r="A964" s="4">
        <v>44793</v>
      </c>
    </row>
    <row r="965" spans="1:1">
      <c r="A965" s="4">
        <v>44794</v>
      </c>
    </row>
    <row r="966" spans="1:1">
      <c r="A966" s="4">
        <v>44795</v>
      </c>
    </row>
    <row r="967" spans="1:1">
      <c r="A967" s="4">
        <v>44796</v>
      </c>
    </row>
    <row r="968" spans="1:1">
      <c r="A968" s="4">
        <v>44797</v>
      </c>
    </row>
    <row r="969" spans="1:1">
      <c r="A969" s="4">
        <v>44798</v>
      </c>
    </row>
    <row r="970" spans="1:1">
      <c r="A970" s="4">
        <v>44799</v>
      </c>
    </row>
    <row r="971" spans="1:1">
      <c r="A971" s="4">
        <v>44800</v>
      </c>
    </row>
    <row r="972" spans="1:1">
      <c r="A972" s="4">
        <v>44801</v>
      </c>
    </row>
    <row r="973" spans="1:1">
      <c r="A973" s="4">
        <v>44802</v>
      </c>
    </row>
    <row r="974" spans="1:1">
      <c r="A974" s="4">
        <v>44803</v>
      </c>
    </row>
    <row r="975" spans="1:1">
      <c r="A975" s="4">
        <v>44804</v>
      </c>
    </row>
    <row r="976" spans="1:1">
      <c r="A976" s="4">
        <v>44805</v>
      </c>
    </row>
    <row r="977" spans="1:1">
      <c r="A977" s="4">
        <v>44806</v>
      </c>
    </row>
    <row r="978" spans="1:1">
      <c r="A978" s="4">
        <v>44807</v>
      </c>
    </row>
    <row r="979" spans="1:1">
      <c r="A979" s="4">
        <v>44808</v>
      </c>
    </row>
    <row r="980" spans="1:1">
      <c r="A980" s="4">
        <v>44809</v>
      </c>
    </row>
    <row r="981" spans="1:1">
      <c r="A981" s="4">
        <v>44810</v>
      </c>
    </row>
    <row r="982" spans="1:1">
      <c r="A982" s="4">
        <v>44811</v>
      </c>
    </row>
    <row r="983" spans="1:1">
      <c r="A983" s="4">
        <v>44812</v>
      </c>
    </row>
    <row r="984" spans="1:1">
      <c r="A984" s="4">
        <v>44813</v>
      </c>
    </row>
    <row r="985" spans="1:1">
      <c r="A985" s="4">
        <v>44814</v>
      </c>
    </row>
    <row r="986" spans="1:1">
      <c r="A986" s="4">
        <v>44815</v>
      </c>
    </row>
    <row r="987" spans="1:1">
      <c r="A987" s="4">
        <v>44816</v>
      </c>
    </row>
    <row r="988" spans="1:1">
      <c r="A988" s="4">
        <v>44817</v>
      </c>
    </row>
    <row r="989" spans="1:1">
      <c r="A989" s="4">
        <v>44818</v>
      </c>
    </row>
    <row r="990" spans="1:1">
      <c r="A990" s="4">
        <v>44819</v>
      </c>
    </row>
    <row r="991" spans="1:1">
      <c r="A991" s="4">
        <v>44820</v>
      </c>
    </row>
    <row r="992" spans="1:1">
      <c r="A992" s="4">
        <v>44821</v>
      </c>
    </row>
    <row r="993" spans="1:1">
      <c r="A993" s="4">
        <v>44822</v>
      </c>
    </row>
    <row r="994" spans="1:1">
      <c r="A994" s="4">
        <v>44823</v>
      </c>
    </row>
    <row r="995" spans="1:1">
      <c r="A995" s="4">
        <v>44824</v>
      </c>
    </row>
    <row r="996" spans="1:1">
      <c r="A996" s="4">
        <v>44825</v>
      </c>
    </row>
    <row r="997" spans="1:1">
      <c r="A997" s="4">
        <v>44826</v>
      </c>
    </row>
    <row r="998" spans="1:1">
      <c r="A998" s="4">
        <v>44827</v>
      </c>
    </row>
    <row r="999" spans="1:1">
      <c r="A999" s="4">
        <v>44828</v>
      </c>
    </row>
    <row r="1000" spans="1:1">
      <c r="A1000" s="4">
        <v>44829</v>
      </c>
    </row>
    <row r="1001" spans="1:1">
      <c r="A1001" s="4">
        <v>44830</v>
      </c>
    </row>
    <row r="1002" spans="1:1">
      <c r="A1002" s="4">
        <v>44831</v>
      </c>
    </row>
    <row r="1003" spans="1:1">
      <c r="A1003" s="4">
        <v>44832</v>
      </c>
    </row>
    <row r="1004" spans="1:1">
      <c r="A1004" s="4">
        <v>44833</v>
      </c>
    </row>
    <row r="1005" spans="1:1">
      <c r="A1005" s="4">
        <v>44834</v>
      </c>
    </row>
    <row r="1006" spans="1:1">
      <c r="A1006" s="4">
        <v>44835</v>
      </c>
    </row>
    <row r="1007" spans="1:1">
      <c r="A1007" s="4">
        <v>44836</v>
      </c>
    </row>
    <row r="1008" spans="1:1">
      <c r="A1008" s="4">
        <v>44837</v>
      </c>
    </row>
    <row r="1009" spans="1:1">
      <c r="A1009" s="4">
        <v>44838</v>
      </c>
    </row>
    <row r="1010" spans="1:1">
      <c r="A1010" s="4">
        <v>44839</v>
      </c>
    </row>
    <row r="1011" spans="1:1">
      <c r="A1011" s="4">
        <v>44840</v>
      </c>
    </row>
    <row r="1012" spans="1:1">
      <c r="A1012" s="4">
        <v>44841</v>
      </c>
    </row>
    <row r="1013" spans="1:1">
      <c r="A1013" s="4">
        <v>44842</v>
      </c>
    </row>
    <row r="1014" spans="1:1">
      <c r="A1014" s="4">
        <v>44843</v>
      </c>
    </row>
    <row r="1015" spans="1:1">
      <c r="A1015" s="4">
        <v>44844</v>
      </c>
    </row>
    <row r="1016" spans="1:1">
      <c r="A1016" s="4">
        <v>44845</v>
      </c>
    </row>
    <row r="1017" spans="1:1">
      <c r="A1017" s="4">
        <v>44846</v>
      </c>
    </row>
    <row r="1018" spans="1:1">
      <c r="A1018" s="4">
        <v>44847</v>
      </c>
    </row>
    <row r="1019" spans="1:1">
      <c r="A1019" s="4">
        <v>44848</v>
      </c>
    </row>
    <row r="1020" spans="1:1">
      <c r="A1020" s="4">
        <v>44849</v>
      </c>
    </row>
    <row r="1021" spans="1:1">
      <c r="A1021" s="4">
        <v>44850</v>
      </c>
    </row>
    <row r="1022" spans="1:1">
      <c r="A1022" s="4">
        <v>44851</v>
      </c>
    </row>
    <row r="1023" spans="1:1">
      <c r="A1023" s="4">
        <v>44852</v>
      </c>
    </row>
    <row r="1024" spans="1:1">
      <c r="A1024" s="4">
        <v>44853</v>
      </c>
    </row>
    <row r="1025" spans="1:1">
      <c r="A1025" s="4">
        <v>44854</v>
      </c>
    </row>
    <row r="1026" spans="1:1">
      <c r="A1026" s="4">
        <v>44855</v>
      </c>
    </row>
    <row r="1027" spans="1:1">
      <c r="A1027" s="4">
        <v>44856</v>
      </c>
    </row>
    <row r="1028" spans="1:1">
      <c r="A1028" s="4">
        <v>44857</v>
      </c>
    </row>
    <row r="1029" spans="1:1">
      <c r="A1029" s="4">
        <v>44858</v>
      </c>
    </row>
    <row r="1030" spans="1:1">
      <c r="A1030" s="4">
        <v>44859</v>
      </c>
    </row>
    <row r="1031" spans="1:1">
      <c r="A1031" s="4">
        <v>44860</v>
      </c>
    </row>
    <row r="1032" spans="1:1">
      <c r="A1032" s="4">
        <v>44861</v>
      </c>
    </row>
    <row r="1033" spans="1:1">
      <c r="A1033" s="4">
        <v>44862</v>
      </c>
    </row>
    <row r="1034" spans="1:1">
      <c r="A1034" s="4">
        <v>44863</v>
      </c>
    </row>
    <row r="1035" spans="1:1">
      <c r="A1035" s="4">
        <v>44864</v>
      </c>
    </row>
    <row r="1036" spans="1:1">
      <c r="A1036" s="4">
        <v>44865</v>
      </c>
    </row>
    <row r="1037" spans="1:1">
      <c r="A1037" s="4">
        <v>44866</v>
      </c>
    </row>
    <row r="1038" spans="1:1">
      <c r="A1038" s="4">
        <v>44867</v>
      </c>
    </row>
    <row r="1039" spans="1:1">
      <c r="A1039" s="4">
        <v>44868</v>
      </c>
    </row>
    <row r="1040" spans="1:1">
      <c r="A1040" s="4">
        <v>44869</v>
      </c>
    </row>
    <row r="1041" spans="1:1">
      <c r="A1041" s="4">
        <v>44870</v>
      </c>
    </row>
    <row r="1042" spans="1:1">
      <c r="A1042" s="4">
        <v>44871</v>
      </c>
    </row>
    <row r="1043" spans="1:1">
      <c r="A1043" s="4">
        <v>44872</v>
      </c>
    </row>
    <row r="1044" spans="1:1">
      <c r="A1044" s="4">
        <v>44873</v>
      </c>
    </row>
    <row r="1045" spans="1:1">
      <c r="A1045" s="4">
        <v>44874</v>
      </c>
    </row>
    <row r="1046" spans="1:1">
      <c r="A1046" s="4">
        <v>44875</v>
      </c>
    </row>
    <row r="1047" spans="1:1">
      <c r="A1047" s="4">
        <v>44876</v>
      </c>
    </row>
    <row r="1048" spans="1:1">
      <c r="A1048" s="4">
        <v>44877</v>
      </c>
    </row>
    <row r="1049" spans="1:1">
      <c r="A1049" s="4">
        <v>44878</v>
      </c>
    </row>
    <row r="1050" spans="1:1">
      <c r="A1050" s="4">
        <v>44879</v>
      </c>
    </row>
    <row r="1051" spans="1:1">
      <c r="A1051" s="4">
        <v>44880</v>
      </c>
    </row>
    <row r="1052" spans="1:1">
      <c r="A1052" s="4">
        <v>44881</v>
      </c>
    </row>
    <row r="1053" spans="1:1">
      <c r="A1053" s="4">
        <v>44882</v>
      </c>
    </row>
    <row r="1054" spans="1:1">
      <c r="A1054" s="4">
        <v>44883</v>
      </c>
    </row>
    <row r="1055" spans="1:1">
      <c r="A1055" s="4">
        <v>44884</v>
      </c>
    </row>
    <row r="1056" spans="1:1">
      <c r="A1056" s="4">
        <v>44885</v>
      </c>
    </row>
    <row r="1057" spans="1:1">
      <c r="A1057" s="4">
        <v>44886</v>
      </c>
    </row>
    <row r="1058" spans="1:1">
      <c r="A1058" s="4">
        <v>44887</v>
      </c>
    </row>
    <row r="1059" spans="1:1">
      <c r="A1059" s="4">
        <v>44888</v>
      </c>
    </row>
    <row r="1060" spans="1:1">
      <c r="A1060" s="4">
        <v>44889</v>
      </c>
    </row>
    <row r="1061" spans="1:1">
      <c r="A1061" s="4">
        <v>44890</v>
      </c>
    </row>
    <row r="1062" spans="1:1">
      <c r="A1062" s="4">
        <v>44891</v>
      </c>
    </row>
    <row r="1063" spans="1:1">
      <c r="A1063" s="4">
        <v>44892</v>
      </c>
    </row>
    <row r="1064" spans="1:1">
      <c r="A1064" s="4">
        <v>44893</v>
      </c>
    </row>
    <row r="1065" spans="1:1">
      <c r="A1065" s="4">
        <v>44894</v>
      </c>
    </row>
    <row r="1066" spans="1:1">
      <c r="A1066" s="4">
        <v>44895</v>
      </c>
    </row>
    <row r="1067" spans="1:1">
      <c r="A1067" s="4">
        <v>44896</v>
      </c>
    </row>
    <row r="1068" spans="1:1">
      <c r="A1068" s="4">
        <v>44897</v>
      </c>
    </row>
    <row r="1069" spans="1:1">
      <c r="A1069" s="4">
        <v>44898</v>
      </c>
    </row>
    <row r="1070" spans="1:1">
      <c r="A1070" s="4">
        <v>44899</v>
      </c>
    </row>
    <row r="1071" spans="1:1">
      <c r="A1071" s="4">
        <v>44900</v>
      </c>
    </row>
    <row r="1072" spans="1:1">
      <c r="A1072" s="4">
        <v>44901</v>
      </c>
    </row>
    <row r="1073" spans="1:1">
      <c r="A1073" s="4">
        <v>44902</v>
      </c>
    </row>
    <row r="1074" spans="1:1">
      <c r="A1074" s="4">
        <v>44903</v>
      </c>
    </row>
    <row r="1075" spans="1:1">
      <c r="A1075" s="4">
        <v>44904</v>
      </c>
    </row>
    <row r="1076" spans="1:1">
      <c r="A1076" s="4">
        <v>44905</v>
      </c>
    </row>
    <row r="1077" spans="1:1">
      <c r="A1077" s="4">
        <v>44906</v>
      </c>
    </row>
    <row r="1078" spans="1:1">
      <c r="A1078" s="4">
        <v>44907</v>
      </c>
    </row>
    <row r="1079" spans="1:1">
      <c r="A1079" s="4">
        <v>44908</v>
      </c>
    </row>
    <row r="1080" spans="1:1">
      <c r="A1080" s="4">
        <v>44909</v>
      </c>
    </row>
    <row r="1081" spans="1:1">
      <c r="A1081" s="4">
        <v>44910</v>
      </c>
    </row>
    <row r="1082" spans="1:1">
      <c r="A1082" s="4">
        <v>44911</v>
      </c>
    </row>
    <row r="1083" spans="1:1">
      <c r="A1083" s="4">
        <v>44912</v>
      </c>
    </row>
    <row r="1084" spans="1:1">
      <c r="A1084" s="4">
        <v>44913</v>
      </c>
    </row>
    <row r="1085" spans="1:1">
      <c r="A1085" s="4">
        <v>44914</v>
      </c>
    </row>
    <row r="1086" spans="1:1">
      <c r="A1086" s="4">
        <v>44915</v>
      </c>
    </row>
    <row r="1087" spans="1:1">
      <c r="A1087" s="4">
        <v>44916</v>
      </c>
    </row>
    <row r="1088" spans="1:1">
      <c r="A1088" s="4">
        <v>44917</v>
      </c>
    </row>
    <row r="1089" spans="1:13">
      <c r="A1089" s="4">
        <v>44918</v>
      </c>
    </row>
    <row r="1090" spans="1:13">
      <c r="A1090" s="4">
        <v>44919</v>
      </c>
    </row>
    <row r="1091" spans="1:13">
      <c r="A1091" s="4">
        <v>44920</v>
      </c>
    </row>
    <row r="1092" spans="1:13">
      <c r="A1092" s="4">
        <v>44921</v>
      </c>
    </row>
    <row r="1093" spans="1:13">
      <c r="A1093" s="4">
        <v>44922</v>
      </c>
    </row>
    <row r="1094" spans="1:13">
      <c r="A1094" s="4">
        <v>44923</v>
      </c>
    </row>
    <row r="1095" spans="1:13">
      <c r="A1095" s="4">
        <v>44924</v>
      </c>
    </row>
    <row r="1096" spans="1:13">
      <c r="A1096" s="4">
        <v>44925</v>
      </c>
    </row>
    <row r="1097" spans="1:13">
      <c r="A1097" s="4">
        <v>44926</v>
      </c>
    </row>
    <row r="1098" spans="1:13">
      <c r="A1098" s="4">
        <v>44927</v>
      </c>
      <c r="B1098" s="32"/>
      <c r="C1098" s="32"/>
      <c r="D1098" s="33" t="s">
        <v>73</v>
      </c>
      <c r="E1098" s="32" t="s">
        <v>74</v>
      </c>
      <c r="F1098" s="33" t="s">
        <v>75</v>
      </c>
      <c r="G1098" s="33">
        <v>6694264</v>
      </c>
      <c r="H1098" s="33" t="s">
        <v>75</v>
      </c>
      <c r="I1098" s="32">
        <v>6694264</v>
      </c>
      <c r="J1098" s="33">
        <v>6694264</v>
      </c>
      <c r="M1098" s="21" t="s">
        <v>76</v>
      </c>
    </row>
    <row r="1099" spans="1:13">
      <c r="A1099" s="4">
        <v>44928</v>
      </c>
      <c r="B1099" s="32"/>
      <c r="C1099" s="32"/>
      <c r="D1099" s="33">
        <v>1533584412</v>
      </c>
      <c r="E1099" s="32" t="s">
        <v>74</v>
      </c>
      <c r="F1099" s="33">
        <v>1533584412</v>
      </c>
      <c r="G1099" s="33">
        <v>90919983</v>
      </c>
      <c r="H1099" s="33" t="s">
        <v>75</v>
      </c>
      <c r="I1099" s="32">
        <v>90919983</v>
      </c>
      <c r="J1099" s="33">
        <v>1624504395</v>
      </c>
      <c r="M1099" s="21">
        <v>2406000000</v>
      </c>
    </row>
    <row r="1100" spans="1:13">
      <c r="A1100" s="4">
        <v>44929</v>
      </c>
      <c r="B1100" s="32"/>
      <c r="C1100" s="32"/>
      <c r="D1100" s="33">
        <v>1946200624</v>
      </c>
      <c r="E1100" s="32"/>
      <c r="F1100" s="33">
        <v>1946200624</v>
      </c>
      <c r="G1100" s="33">
        <v>98557515</v>
      </c>
      <c r="H1100" s="33">
        <v>8500000000</v>
      </c>
      <c r="I1100" s="32">
        <v>8598557515</v>
      </c>
      <c r="J1100" s="33">
        <v>10544758139</v>
      </c>
      <c r="M1100" s="21">
        <v>4809000000</v>
      </c>
    </row>
    <row r="1101" spans="1:13">
      <c r="A1101" s="4">
        <v>44930</v>
      </c>
      <c r="B1101" s="32"/>
      <c r="C1101" s="32"/>
      <c r="D1101" s="33">
        <v>2253347382</v>
      </c>
      <c r="E1101" s="32"/>
      <c r="F1101" s="33">
        <v>2253347382</v>
      </c>
      <c r="G1101" s="33">
        <v>79743668</v>
      </c>
      <c r="H1101" s="33">
        <v>51913400</v>
      </c>
      <c r="I1101" s="32">
        <v>131657068</v>
      </c>
      <c r="J1101" s="33">
        <v>2385004450</v>
      </c>
      <c r="M1101" s="21">
        <v>7217000000</v>
      </c>
    </row>
    <row r="1102" spans="1:13">
      <c r="A1102" s="4">
        <v>44931</v>
      </c>
      <c r="B1102" s="32"/>
      <c r="C1102" s="32"/>
      <c r="D1102" s="33">
        <v>4075492094.4000001</v>
      </c>
      <c r="E1102" s="32"/>
      <c r="F1102" s="33">
        <v>4075492094.4000001</v>
      </c>
      <c r="G1102" s="33">
        <v>87839191</v>
      </c>
      <c r="H1102" s="33">
        <v>100000000</v>
      </c>
      <c r="I1102" s="32">
        <v>187839191</v>
      </c>
      <c r="J1102" s="33">
        <v>4263331285.4000001</v>
      </c>
      <c r="M1102" s="21">
        <v>9723000000</v>
      </c>
    </row>
    <row r="1103" spans="1:13">
      <c r="A1103" s="4">
        <v>44932</v>
      </c>
      <c r="B1103" s="32"/>
      <c r="C1103" s="32"/>
      <c r="D1103" s="33" t="s">
        <v>73</v>
      </c>
      <c r="E1103" s="32"/>
      <c r="F1103" s="33" t="s">
        <v>75</v>
      </c>
      <c r="G1103" s="33">
        <v>5366963</v>
      </c>
      <c r="H1103" s="33" t="s">
        <v>75</v>
      </c>
      <c r="I1103" s="32">
        <v>5366963</v>
      </c>
      <c r="J1103" s="33">
        <v>5366963</v>
      </c>
      <c r="M1103" s="21">
        <v>9723000000</v>
      </c>
    </row>
    <row r="1104" spans="1:13">
      <c r="A1104" s="4">
        <v>44933</v>
      </c>
      <c r="B1104" s="32"/>
      <c r="C1104" s="32"/>
      <c r="D1104" s="33" t="s">
        <v>73</v>
      </c>
      <c r="E1104" s="32"/>
      <c r="F1104" s="33" t="s">
        <v>75</v>
      </c>
      <c r="G1104" s="33">
        <v>1100850</v>
      </c>
      <c r="H1104" s="33" t="s">
        <v>75</v>
      </c>
      <c r="I1104" s="32">
        <v>1100850</v>
      </c>
      <c r="J1104" s="33">
        <v>1100850</v>
      </c>
      <c r="M1104" s="21">
        <v>9723000000</v>
      </c>
    </row>
    <row r="1105" spans="1:13">
      <c r="A1105" s="4">
        <v>44934</v>
      </c>
      <c r="B1105" s="32"/>
      <c r="C1105" s="32"/>
      <c r="D1105" s="33" t="s">
        <v>73</v>
      </c>
      <c r="E1105" s="32"/>
      <c r="F1105" s="33" t="s">
        <v>75</v>
      </c>
      <c r="G1105" s="33" t="s">
        <v>75</v>
      </c>
      <c r="H1105" s="33"/>
      <c r="I1105" s="32" t="s">
        <v>75</v>
      </c>
      <c r="J1105" s="33" t="s">
        <v>76</v>
      </c>
      <c r="M1105" s="21">
        <v>9723000000</v>
      </c>
    </row>
    <row r="1106" spans="1:13">
      <c r="A1106" s="4">
        <v>44935</v>
      </c>
      <c r="B1106" s="32"/>
      <c r="C1106" s="32"/>
      <c r="D1106" s="33">
        <v>2522120523.77</v>
      </c>
      <c r="E1106" s="32"/>
      <c r="F1106" s="33">
        <v>2522120523.77</v>
      </c>
      <c r="G1106" s="33">
        <v>107455057</v>
      </c>
      <c r="H1106" s="33"/>
      <c r="I1106" s="32">
        <v>107455057</v>
      </c>
      <c r="J1106" s="33">
        <v>2629575580.77</v>
      </c>
      <c r="M1106" s="21">
        <v>11994000000</v>
      </c>
    </row>
    <row r="1107" spans="1:13">
      <c r="A1107" s="4">
        <v>44936</v>
      </c>
      <c r="B1107" s="32"/>
      <c r="C1107" s="32"/>
      <c r="D1107" s="33">
        <v>2082499521</v>
      </c>
      <c r="E1107" s="32"/>
      <c r="F1107" s="33">
        <v>2082499521</v>
      </c>
      <c r="G1107" s="33">
        <v>202826142</v>
      </c>
      <c r="H1107" s="33"/>
      <c r="I1107" s="32">
        <v>202826142</v>
      </c>
      <c r="J1107" s="33">
        <v>2285325663</v>
      </c>
      <c r="M1107" s="21">
        <v>14424000000</v>
      </c>
    </row>
    <row r="1108" spans="1:13">
      <c r="A1108" s="4">
        <v>44937</v>
      </c>
      <c r="B1108" s="32"/>
      <c r="C1108" s="32"/>
      <c r="D1108" s="33">
        <v>2891698773</v>
      </c>
      <c r="E1108" s="32">
        <v>803399</v>
      </c>
      <c r="F1108" s="33">
        <v>2892502172</v>
      </c>
      <c r="G1108" s="33">
        <v>140158352</v>
      </c>
      <c r="H1108" s="33"/>
      <c r="I1108" s="32">
        <v>140158352</v>
      </c>
      <c r="J1108" s="33">
        <v>3032660524</v>
      </c>
      <c r="M1108" s="21">
        <v>16866000000</v>
      </c>
    </row>
    <row r="1109" spans="1:13">
      <c r="A1109" s="4">
        <v>44938</v>
      </c>
      <c r="B1109" s="32"/>
      <c r="C1109" s="32"/>
      <c r="D1109" s="33">
        <v>2139120402.22</v>
      </c>
      <c r="E1109" s="32">
        <v>4834409</v>
      </c>
      <c r="F1109" s="33">
        <v>2143954811.22</v>
      </c>
      <c r="G1109" s="33">
        <v>76039743</v>
      </c>
      <c r="H1109" s="33"/>
      <c r="I1109" s="32">
        <v>76039743</v>
      </c>
      <c r="J1109" s="33">
        <v>2219994554.2199998</v>
      </c>
      <c r="M1109" s="21">
        <v>19286000000</v>
      </c>
    </row>
    <row r="1110" spans="1:13">
      <c r="A1110" s="4">
        <v>44939</v>
      </c>
      <c r="B1110" s="32"/>
      <c r="C1110" s="32"/>
      <c r="D1110" s="33">
        <v>1801734336</v>
      </c>
      <c r="E1110" s="32"/>
      <c r="F1110" s="33">
        <v>1801734336</v>
      </c>
      <c r="G1110" s="33">
        <v>167004014</v>
      </c>
      <c r="H1110" s="33">
        <v>100000000</v>
      </c>
      <c r="I1110" s="32">
        <v>267004014</v>
      </c>
      <c r="J1110" s="33">
        <v>2068738350</v>
      </c>
      <c r="M1110" s="21">
        <v>33240000000</v>
      </c>
    </row>
    <row r="1111" spans="1:13">
      <c r="A1111" s="4">
        <v>44940</v>
      </c>
      <c r="B1111" s="32"/>
      <c r="C1111" s="32"/>
      <c r="D1111" s="33"/>
      <c r="E1111" s="32"/>
      <c r="F1111" s="33" t="s">
        <v>75</v>
      </c>
      <c r="G1111" s="33">
        <v>2200</v>
      </c>
      <c r="H1111" s="33"/>
      <c r="I1111" s="32">
        <v>2200</v>
      </c>
      <c r="J1111" s="33">
        <v>2200</v>
      </c>
      <c r="M1111" s="21">
        <v>33240000000</v>
      </c>
    </row>
    <row r="1112" spans="1:13">
      <c r="A1112" s="4">
        <v>44941</v>
      </c>
      <c r="B1112" s="32"/>
      <c r="C1112" s="32"/>
      <c r="D1112" s="33"/>
      <c r="E1112" s="32"/>
      <c r="F1112" s="33" t="s">
        <v>75</v>
      </c>
      <c r="G1112" s="33"/>
      <c r="H1112" s="33"/>
      <c r="I1112" s="32" t="s">
        <v>75</v>
      </c>
      <c r="J1112" s="33" t="s">
        <v>76</v>
      </c>
      <c r="M1112" s="21">
        <v>33240000000</v>
      </c>
    </row>
    <row r="1113" spans="1:13">
      <c r="A1113" s="4">
        <v>44942</v>
      </c>
      <c r="B1113" s="32"/>
      <c r="C1113" s="32"/>
      <c r="D1113" s="33"/>
      <c r="E1113" s="32"/>
      <c r="F1113" s="33" t="s">
        <v>75</v>
      </c>
      <c r="G1113" s="33">
        <v>4028274</v>
      </c>
      <c r="H1113" s="33"/>
      <c r="I1113" s="32">
        <v>4028274</v>
      </c>
      <c r="J1113" s="33">
        <v>4028274</v>
      </c>
      <c r="M1113" s="21">
        <v>35645000000</v>
      </c>
    </row>
    <row r="1114" spans="1:13">
      <c r="A1114" s="4">
        <v>44943</v>
      </c>
      <c r="B1114" s="32"/>
      <c r="C1114" s="32"/>
      <c r="D1114" s="33">
        <v>2593842758</v>
      </c>
      <c r="E1114" s="32">
        <v>278648</v>
      </c>
      <c r="F1114" s="33">
        <v>2594121406</v>
      </c>
      <c r="G1114" s="33">
        <v>99783072</v>
      </c>
      <c r="H1114" s="33"/>
      <c r="I1114" s="32">
        <v>99783072</v>
      </c>
      <c r="J1114" s="33">
        <v>2693904478</v>
      </c>
      <c r="M1114" s="21">
        <v>38046000000</v>
      </c>
    </row>
    <row r="1115" spans="1:13">
      <c r="A1115" s="4">
        <v>44944</v>
      </c>
      <c r="B1115" s="32"/>
      <c r="C1115" s="32"/>
      <c r="D1115" s="33">
        <v>2751051294</v>
      </c>
      <c r="E1115" s="32">
        <v>251188.5</v>
      </c>
      <c r="F1115" s="33">
        <v>2751302482.5</v>
      </c>
      <c r="G1115" s="33">
        <v>143366058</v>
      </c>
      <c r="H1115" s="33"/>
      <c r="I1115" s="32">
        <v>143366058</v>
      </c>
      <c r="J1115" s="33">
        <v>2894668540.5</v>
      </c>
      <c r="M1115" s="21">
        <v>40452000000</v>
      </c>
    </row>
    <row r="1116" spans="1:13">
      <c r="A1116" s="4">
        <v>44945</v>
      </c>
      <c r="B1116" s="32"/>
      <c r="C1116" s="32"/>
      <c r="D1116" s="33">
        <v>2162300666</v>
      </c>
      <c r="E1116" s="32">
        <v>6134828</v>
      </c>
      <c r="F1116" s="33">
        <v>2168435494</v>
      </c>
      <c r="G1116" s="33">
        <v>102718771</v>
      </c>
      <c r="H1116" s="33"/>
      <c r="I1116" s="32">
        <v>102718771</v>
      </c>
      <c r="J1116" s="33">
        <v>2271154265</v>
      </c>
      <c r="M1116" s="21">
        <v>42860000000</v>
      </c>
    </row>
    <row r="1117" spans="1:13">
      <c r="A1117" s="4">
        <v>44946</v>
      </c>
      <c r="B1117" s="32"/>
      <c r="C1117" s="32"/>
      <c r="D1117" s="33">
        <v>1777717383</v>
      </c>
      <c r="E1117" s="32">
        <v>6670640</v>
      </c>
      <c r="F1117" s="33">
        <v>1784388023</v>
      </c>
      <c r="G1117" s="33">
        <v>107140628</v>
      </c>
      <c r="H1117" s="33">
        <v>100000000</v>
      </c>
      <c r="I1117" s="32">
        <v>207140628</v>
      </c>
      <c r="J1117" s="33">
        <v>1991528651</v>
      </c>
      <c r="M1117" s="21">
        <v>45373000000</v>
      </c>
    </row>
    <row r="1118" spans="1:13">
      <c r="A1118" s="4">
        <v>44947</v>
      </c>
      <c r="B1118" s="32"/>
      <c r="C1118" s="32"/>
      <c r="D1118" s="33"/>
      <c r="E1118" s="32"/>
      <c r="F1118" s="33" t="s">
        <v>75</v>
      </c>
      <c r="G1118" s="33">
        <v>2184459</v>
      </c>
      <c r="H1118" s="33" t="s">
        <v>75</v>
      </c>
      <c r="I1118" s="32">
        <v>2184459</v>
      </c>
      <c r="J1118" s="33">
        <v>2184459</v>
      </c>
      <c r="M1118" s="21">
        <v>45373000000</v>
      </c>
    </row>
    <row r="1119" spans="1:13">
      <c r="A1119" s="4">
        <v>44948</v>
      </c>
      <c r="B1119" s="32"/>
      <c r="C1119" s="32"/>
      <c r="D1119" s="33"/>
      <c r="E1119" s="32"/>
      <c r="F1119" s="33" t="s">
        <v>75</v>
      </c>
      <c r="G1119" s="33" t="s">
        <v>75</v>
      </c>
      <c r="H1119" s="33" t="s">
        <v>75</v>
      </c>
      <c r="I1119" s="32" t="s">
        <v>75</v>
      </c>
      <c r="J1119" s="33" t="s">
        <v>76</v>
      </c>
      <c r="M1119" s="21">
        <v>45373000000</v>
      </c>
    </row>
    <row r="1120" spans="1:13">
      <c r="A1120" s="4">
        <v>44949</v>
      </c>
      <c r="B1120" s="32"/>
      <c r="C1120" s="32"/>
      <c r="D1120" s="33">
        <v>2902583503.1999998</v>
      </c>
      <c r="E1120" s="32" t="s">
        <v>74</v>
      </c>
      <c r="F1120" s="33">
        <v>2902583503.1999998</v>
      </c>
      <c r="G1120" s="33">
        <v>56770087</v>
      </c>
      <c r="H1120" s="33" t="s">
        <v>75</v>
      </c>
      <c r="I1120" s="32">
        <v>56770087</v>
      </c>
      <c r="J1120" s="33">
        <v>2959353590.1999998</v>
      </c>
      <c r="M1120" s="21">
        <v>47781000000</v>
      </c>
    </row>
    <row r="1121" spans="1:13">
      <c r="A1121" s="4">
        <v>44950</v>
      </c>
      <c r="B1121" s="32"/>
      <c r="C1121" s="32"/>
      <c r="D1121" s="33">
        <v>2327667728</v>
      </c>
      <c r="E1121" s="32" t="s">
        <v>74</v>
      </c>
      <c r="F1121" s="33">
        <v>2327667728</v>
      </c>
      <c r="G1121" s="33">
        <v>112994445</v>
      </c>
      <c r="H1121" s="33" t="s">
        <v>75</v>
      </c>
      <c r="I1121" s="32">
        <v>112994445</v>
      </c>
      <c r="J1121" s="33">
        <v>2440662173</v>
      </c>
      <c r="M1121" s="21">
        <v>50187000000</v>
      </c>
    </row>
    <row r="1122" spans="1:13">
      <c r="A1122" s="4">
        <v>44951</v>
      </c>
      <c r="B1122" s="32"/>
      <c r="C1122" s="32"/>
      <c r="D1122" s="33">
        <v>3496762111</v>
      </c>
      <c r="E1122" s="32">
        <v>2432215.5</v>
      </c>
      <c r="F1122" s="33">
        <v>3499194326.5</v>
      </c>
      <c r="G1122" s="33">
        <v>162361825</v>
      </c>
      <c r="H1122" s="33" t="s">
        <v>75</v>
      </c>
      <c r="I1122" s="32">
        <v>162361825</v>
      </c>
      <c r="J1122" s="33">
        <v>3661556151.5</v>
      </c>
      <c r="M1122" s="21">
        <v>52590000000</v>
      </c>
    </row>
    <row r="1123" spans="1:13">
      <c r="A1123" s="4">
        <v>44952</v>
      </c>
      <c r="B1123" s="32"/>
      <c r="C1123" s="32"/>
      <c r="D1123" s="33">
        <v>1646477160.9300001</v>
      </c>
      <c r="E1123" s="32">
        <v>371090.32</v>
      </c>
      <c r="F1123" s="33">
        <v>1646848251.25</v>
      </c>
      <c r="G1123" s="33">
        <v>89784917</v>
      </c>
      <c r="H1123" s="33"/>
      <c r="I1123" s="32">
        <v>89784917</v>
      </c>
      <c r="J1123" s="33">
        <v>1736633168.25</v>
      </c>
      <c r="M1123" s="21">
        <v>54985000000</v>
      </c>
    </row>
    <row r="1124" spans="1:13">
      <c r="A1124" s="4">
        <v>44953</v>
      </c>
      <c r="B1124" s="32"/>
      <c r="C1124" s="32"/>
      <c r="D1124" s="33">
        <v>1898923000</v>
      </c>
      <c r="E1124" s="32">
        <v>96290.85</v>
      </c>
      <c r="F1124" s="33">
        <v>1899019290.8499999</v>
      </c>
      <c r="G1124" s="33">
        <v>41850681</v>
      </c>
      <c r="H1124" s="33">
        <v>100000000</v>
      </c>
      <c r="I1124" s="32">
        <v>141850681</v>
      </c>
      <c r="J1124" s="33">
        <v>2040869971.8499999</v>
      </c>
      <c r="M1124" s="21">
        <v>57475000000</v>
      </c>
    </row>
    <row r="1125" spans="1:13">
      <c r="A1125" s="4">
        <v>44954</v>
      </c>
      <c r="B1125" s="32"/>
      <c r="C1125" s="32"/>
      <c r="D1125" s="33"/>
      <c r="E1125" s="32"/>
      <c r="F1125" s="33" t="s">
        <v>75</v>
      </c>
      <c r="G1125" s="33">
        <v>10090058</v>
      </c>
      <c r="H1125" s="33"/>
      <c r="I1125" s="32">
        <v>10090058</v>
      </c>
      <c r="J1125" s="33">
        <v>10090058</v>
      </c>
      <c r="M1125" s="21">
        <v>57475000000</v>
      </c>
    </row>
    <row r="1126" spans="1:13">
      <c r="A1126" s="4">
        <v>44955</v>
      </c>
      <c r="B1126" s="32"/>
      <c r="C1126" s="32"/>
      <c r="D1126" s="33"/>
      <c r="E1126" s="32"/>
      <c r="F1126" s="33" t="s">
        <v>75</v>
      </c>
      <c r="G1126" s="33"/>
      <c r="H1126" s="33"/>
      <c r="I1126" s="32" t="s">
        <v>75</v>
      </c>
      <c r="J1126" s="33" t="s">
        <v>76</v>
      </c>
      <c r="M1126" s="21">
        <v>57475000000</v>
      </c>
    </row>
    <row r="1127" spans="1:13">
      <c r="A1127" s="4">
        <v>44956</v>
      </c>
      <c r="B1127" s="32"/>
      <c r="C1127" s="32"/>
      <c r="D1127" s="33">
        <v>5077676123</v>
      </c>
      <c r="E1127" s="32">
        <v>292704268.02999997</v>
      </c>
      <c r="F1127" s="33">
        <v>5370380391.0299997</v>
      </c>
      <c r="G1127" s="33">
        <v>136146175</v>
      </c>
      <c r="H1127" s="33"/>
      <c r="I1127" s="32">
        <v>136146175</v>
      </c>
      <c r="J1127" s="33">
        <v>5506526566.0299997</v>
      </c>
      <c r="M1127" s="21">
        <v>59881000000</v>
      </c>
    </row>
    <row r="1128" spans="1:13">
      <c r="A1128" s="4">
        <v>44957</v>
      </c>
      <c r="B1128" s="32"/>
      <c r="C1128" s="32"/>
      <c r="D1128" s="33">
        <v>5145881302.7399998</v>
      </c>
      <c r="E1128" s="32">
        <v>181763046.80000001</v>
      </c>
      <c r="F1128" s="33">
        <v>5327644349.54</v>
      </c>
      <c r="G1128" s="33">
        <v>176745004</v>
      </c>
      <c r="H1128" s="33"/>
      <c r="I1128" s="32">
        <v>176745004</v>
      </c>
      <c r="J1128" s="33">
        <v>5504389353.54</v>
      </c>
      <c r="M1128" s="21">
        <v>59878000000</v>
      </c>
    </row>
    <row r="1129" spans="1:13">
      <c r="A1129" s="4">
        <v>44958</v>
      </c>
      <c r="B1129" s="32"/>
      <c r="C1129" s="32"/>
      <c r="D1129" s="32">
        <v>1792897223</v>
      </c>
      <c r="E1129" s="32">
        <v>162262116.44</v>
      </c>
      <c r="F1129" s="32">
        <v>1955159339.4400001</v>
      </c>
      <c r="G1129" s="33">
        <v>148269949</v>
      </c>
      <c r="H1129" s="32"/>
      <c r="I1129" s="32">
        <v>148269949</v>
      </c>
      <c r="J1129" s="32">
        <v>2103429288.4400001</v>
      </c>
      <c r="M1129" s="21">
        <v>2664000000</v>
      </c>
    </row>
    <row r="1130" spans="1:13">
      <c r="A1130" s="4">
        <v>44959</v>
      </c>
      <c r="B1130" s="32"/>
      <c r="C1130" s="32"/>
      <c r="D1130" s="32">
        <v>7140274257</v>
      </c>
      <c r="E1130" s="32" t="s">
        <v>74</v>
      </c>
      <c r="F1130" s="32">
        <v>7140274257</v>
      </c>
      <c r="G1130" s="33">
        <v>72434464</v>
      </c>
      <c r="H1130" s="32">
        <v>100000000</v>
      </c>
      <c r="I1130" s="32">
        <v>172434464</v>
      </c>
      <c r="J1130" s="32">
        <v>7312708721</v>
      </c>
      <c r="M1130" s="21">
        <v>5318000000</v>
      </c>
    </row>
    <row r="1131" spans="1:13">
      <c r="A1131" s="4">
        <v>44960</v>
      </c>
      <c r="B1131" s="32"/>
      <c r="C1131" s="32"/>
      <c r="D1131" s="32">
        <v>1760796401</v>
      </c>
      <c r="E1131" s="32" t="s">
        <v>74</v>
      </c>
      <c r="F1131" s="32">
        <v>1760796401</v>
      </c>
      <c r="G1131" s="33">
        <v>84520758</v>
      </c>
      <c r="H1131" s="32"/>
      <c r="I1131" s="32">
        <v>84520758</v>
      </c>
      <c r="J1131" s="32">
        <v>1845317159</v>
      </c>
      <c r="M1131" s="21">
        <v>8061000000</v>
      </c>
    </row>
    <row r="1132" spans="1:13">
      <c r="A1132" s="4">
        <v>44961</v>
      </c>
      <c r="B1132" s="32"/>
      <c r="C1132" s="32"/>
      <c r="D1132" s="32"/>
      <c r="E1132" s="32" t="s">
        <v>74</v>
      </c>
      <c r="F1132" s="32" t="s">
        <v>75</v>
      </c>
      <c r="G1132" s="33">
        <v>2207400</v>
      </c>
      <c r="H1132" s="32"/>
      <c r="I1132" s="32">
        <v>2207400</v>
      </c>
      <c r="J1132" s="32">
        <v>2207400</v>
      </c>
      <c r="M1132" s="21">
        <v>8061000000</v>
      </c>
    </row>
    <row r="1133" spans="1:13">
      <c r="A1133" s="4">
        <v>44962</v>
      </c>
      <c r="B1133" s="32"/>
      <c r="C1133" s="32"/>
      <c r="D1133" s="32"/>
      <c r="E1133" s="32" t="s">
        <v>74</v>
      </c>
      <c r="F1133" s="32" t="s">
        <v>75</v>
      </c>
      <c r="G1133" s="33">
        <v>1958950</v>
      </c>
      <c r="H1133" s="32"/>
      <c r="I1133" s="32">
        <v>1958950</v>
      </c>
      <c r="J1133" s="32">
        <v>1958950</v>
      </c>
      <c r="M1133" s="21">
        <v>8061000000</v>
      </c>
    </row>
    <row r="1134" spans="1:13">
      <c r="A1134" s="4">
        <v>44963</v>
      </c>
      <c r="B1134" s="32"/>
      <c r="C1134" s="32"/>
      <c r="D1134" s="32">
        <v>3150288773</v>
      </c>
      <c r="E1134" s="32" t="s">
        <v>74</v>
      </c>
      <c r="F1134" s="32">
        <v>3150288773</v>
      </c>
      <c r="G1134" s="33">
        <v>63952782</v>
      </c>
      <c r="H1134" s="32"/>
      <c r="I1134" s="32">
        <v>63952782</v>
      </c>
      <c r="J1134" s="32">
        <v>3214241555</v>
      </c>
      <c r="M1134" s="21">
        <v>10703000000</v>
      </c>
    </row>
    <row r="1135" spans="1:13">
      <c r="A1135" s="4">
        <v>44964</v>
      </c>
      <c r="B1135" s="32"/>
      <c r="C1135" s="32"/>
      <c r="D1135" s="32">
        <v>2511107846.4000001</v>
      </c>
      <c r="E1135" s="32" t="s">
        <v>74</v>
      </c>
      <c r="F1135" s="32">
        <v>2511107846.4000001</v>
      </c>
      <c r="G1135" s="33">
        <v>82632292</v>
      </c>
      <c r="H1135" s="32" t="s">
        <v>75</v>
      </c>
      <c r="I1135" s="32">
        <v>82632292</v>
      </c>
      <c r="J1135" s="32">
        <v>2593740138.4000001</v>
      </c>
      <c r="M1135" s="21">
        <v>13356000000</v>
      </c>
    </row>
    <row r="1136" spans="1:13">
      <c r="A1136" s="4">
        <v>44965</v>
      </c>
      <c r="B1136" s="32"/>
      <c r="C1136" s="32"/>
      <c r="D1136" s="32">
        <v>2426320699</v>
      </c>
      <c r="E1136" s="32"/>
      <c r="F1136" s="32">
        <v>2426320699</v>
      </c>
      <c r="G1136" s="33">
        <v>55522553</v>
      </c>
      <c r="H1136" s="32">
        <v>7549351120</v>
      </c>
      <c r="I1136" s="32">
        <v>7604873673</v>
      </c>
      <c r="J1136" s="32">
        <v>10031194372</v>
      </c>
      <c r="M1136" s="21">
        <v>16022000000</v>
      </c>
    </row>
    <row r="1137" spans="1:13">
      <c r="A1137" s="4">
        <v>44966</v>
      </c>
      <c r="B1137" s="32"/>
      <c r="C1137" s="32"/>
      <c r="D1137" s="32">
        <v>2379283558</v>
      </c>
      <c r="E1137" s="32">
        <v>9419.4599999999991</v>
      </c>
      <c r="F1137" s="32">
        <v>2379292977.46</v>
      </c>
      <c r="G1137" s="33">
        <v>120179476</v>
      </c>
      <c r="H1137" s="32"/>
      <c r="I1137" s="32">
        <v>120179476</v>
      </c>
      <c r="J1137" s="32">
        <v>2499472453.46</v>
      </c>
      <c r="M1137" s="21">
        <v>18675000000</v>
      </c>
    </row>
    <row r="1138" spans="1:13">
      <c r="A1138" s="4">
        <v>44967</v>
      </c>
      <c r="B1138" s="32"/>
      <c r="C1138" s="32"/>
      <c r="D1138" s="32">
        <v>1956750694.5</v>
      </c>
      <c r="E1138" s="32"/>
      <c r="F1138" s="32">
        <v>1956750694.5</v>
      </c>
      <c r="G1138" s="33">
        <v>136911441</v>
      </c>
      <c r="H1138" s="32">
        <v>100000000</v>
      </c>
      <c r="I1138" s="32">
        <v>236911441</v>
      </c>
      <c r="J1138" s="32">
        <v>2193662135.5</v>
      </c>
      <c r="M1138" s="21">
        <v>31692000000</v>
      </c>
    </row>
    <row r="1139" spans="1:13">
      <c r="A1139" s="4">
        <v>44968</v>
      </c>
      <c r="B1139" s="32"/>
      <c r="C1139" s="32"/>
      <c r="D1139" s="32"/>
      <c r="E1139" s="32"/>
      <c r="F1139" s="32" t="s">
        <v>75</v>
      </c>
      <c r="G1139" s="33">
        <v>3489438</v>
      </c>
      <c r="H1139" s="32"/>
      <c r="I1139" s="32">
        <v>3489438</v>
      </c>
      <c r="J1139" s="32">
        <v>3489438</v>
      </c>
      <c r="M1139" s="21">
        <v>31692000000</v>
      </c>
    </row>
    <row r="1140" spans="1:13">
      <c r="A1140" s="4">
        <v>44969</v>
      </c>
      <c r="B1140" s="32"/>
      <c r="C1140" s="32"/>
      <c r="D1140" s="32"/>
      <c r="E1140" s="32"/>
      <c r="F1140" s="32" t="s">
        <v>75</v>
      </c>
      <c r="G1140" s="33">
        <v>573623</v>
      </c>
      <c r="H1140" s="32"/>
      <c r="I1140" s="32">
        <v>573623</v>
      </c>
      <c r="J1140" s="32">
        <v>573623</v>
      </c>
      <c r="M1140" s="21">
        <v>31692000000</v>
      </c>
    </row>
    <row r="1141" spans="1:13">
      <c r="A1141" s="4">
        <v>44970</v>
      </c>
      <c r="B1141" s="32"/>
      <c r="C1141" s="32"/>
      <c r="D1141" s="32">
        <v>3965794075</v>
      </c>
      <c r="E1141" s="32"/>
      <c r="F1141" s="32">
        <v>3965794075</v>
      </c>
      <c r="G1141" s="33">
        <v>126802203</v>
      </c>
      <c r="H1141" s="32"/>
      <c r="I1141" s="32">
        <v>126802203</v>
      </c>
      <c r="J1141" s="32">
        <v>4092596278</v>
      </c>
      <c r="M1141" s="21">
        <v>34335000000</v>
      </c>
    </row>
    <row r="1142" spans="1:13">
      <c r="A1142" s="4">
        <v>44971</v>
      </c>
      <c r="B1142" s="32"/>
      <c r="C1142" s="32"/>
      <c r="D1142" s="32">
        <v>2734574247.5100002</v>
      </c>
      <c r="E1142" s="32"/>
      <c r="F1142" s="32">
        <v>2734574247.5100002</v>
      </c>
      <c r="G1142" s="33">
        <v>119353044</v>
      </c>
      <c r="H1142" s="32"/>
      <c r="I1142" s="32">
        <v>119353044</v>
      </c>
      <c r="J1142" s="32">
        <v>2853927291.5100002</v>
      </c>
      <c r="M1142" s="21">
        <v>36990000000</v>
      </c>
    </row>
    <row r="1143" spans="1:13">
      <c r="A1143" s="4">
        <v>44972</v>
      </c>
      <c r="B1143" s="32"/>
      <c r="C1143" s="32"/>
      <c r="D1143" s="32">
        <v>1874030560</v>
      </c>
      <c r="E1143" s="32"/>
      <c r="F1143" s="32">
        <v>1874030560</v>
      </c>
      <c r="G1143" s="33">
        <v>147601623.12</v>
      </c>
      <c r="H1143" s="32"/>
      <c r="I1143" s="32">
        <v>147601623.12</v>
      </c>
      <c r="J1143" s="32">
        <v>2021632183.1199999</v>
      </c>
      <c r="M1143" s="21">
        <v>39658000000</v>
      </c>
    </row>
    <row r="1144" spans="1:13">
      <c r="A1144" s="4">
        <v>44973</v>
      </c>
      <c r="B1144" s="32"/>
      <c r="C1144" s="32"/>
      <c r="D1144" s="32">
        <v>6401708799</v>
      </c>
      <c r="E1144" s="32"/>
      <c r="F1144" s="32">
        <v>6401708799</v>
      </c>
      <c r="G1144" s="33">
        <v>112669805.88</v>
      </c>
      <c r="H1144" s="32"/>
      <c r="I1144" s="32">
        <v>112669805.88</v>
      </c>
      <c r="J1144" s="32">
        <v>6514378604.8800001</v>
      </c>
      <c r="M1144" s="21">
        <v>42313000000</v>
      </c>
    </row>
    <row r="1145" spans="1:13">
      <c r="A1145" s="4">
        <v>44974</v>
      </c>
      <c r="B1145" s="32"/>
      <c r="C1145" s="32"/>
      <c r="D1145" s="32">
        <v>2184832574</v>
      </c>
      <c r="E1145" s="32"/>
      <c r="F1145" s="32">
        <v>2184832574</v>
      </c>
      <c r="G1145" s="33">
        <v>113544593</v>
      </c>
      <c r="H1145" s="32">
        <v>100000000</v>
      </c>
      <c r="I1145" s="32">
        <v>213544593</v>
      </c>
      <c r="J1145" s="32">
        <v>2398377167</v>
      </c>
      <c r="M1145" s="21">
        <v>45057000000</v>
      </c>
    </row>
    <row r="1146" spans="1:13">
      <c r="A1146" s="4">
        <v>44975</v>
      </c>
      <c r="B1146" s="32"/>
      <c r="C1146" s="32"/>
      <c r="D1146" s="32"/>
      <c r="E1146" s="32"/>
      <c r="F1146" s="32" t="s">
        <v>75</v>
      </c>
      <c r="G1146" s="33">
        <v>3153349</v>
      </c>
      <c r="H1146" s="32"/>
      <c r="I1146" s="32">
        <v>3153349</v>
      </c>
      <c r="J1146" s="32">
        <v>3153349</v>
      </c>
      <c r="M1146" s="21">
        <v>45057000000</v>
      </c>
    </row>
    <row r="1147" spans="1:13">
      <c r="A1147" s="4">
        <v>44976</v>
      </c>
      <c r="B1147" s="32"/>
      <c r="C1147" s="32"/>
      <c r="D1147" s="32"/>
      <c r="E1147" s="32"/>
      <c r="F1147" s="32" t="s">
        <v>75</v>
      </c>
      <c r="G1147" s="33"/>
      <c r="H1147" s="32"/>
      <c r="I1147" s="32" t="s">
        <v>75</v>
      </c>
      <c r="J1147" s="32" t="s">
        <v>76</v>
      </c>
      <c r="M1147" s="21">
        <v>45057000000</v>
      </c>
    </row>
    <row r="1148" spans="1:13">
      <c r="A1148" s="4">
        <v>44977</v>
      </c>
      <c r="B1148" s="32"/>
      <c r="C1148" s="32"/>
      <c r="D1148" s="32">
        <v>4931500960</v>
      </c>
      <c r="E1148" s="32"/>
      <c r="F1148" s="32">
        <v>4931500960</v>
      </c>
      <c r="G1148" s="33">
        <v>57521309</v>
      </c>
      <c r="H1148" s="32"/>
      <c r="I1148" s="32">
        <v>57521309</v>
      </c>
      <c r="J1148" s="32">
        <v>4989022269</v>
      </c>
      <c r="M1148" s="21">
        <v>47705000000</v>
      </c>
    </row>
    <row r="1149" spans="1:13">
      <c r="A1149" s="4">
        <v>44978</v>
      </c>
      <c r="B1149" s="32"/>
      <c r="C1149" s="32"/>
      <c r="D1149" s="32">
        <v>1880100077.9000001</v>
      </c>
      <c r="E1149" s="32"/>
      <c r="F1149" s="32">
        <v>1880100077.9000001</v>
      </c>
      <c r="G1149" s="33">
        <v>148501895</v>
      </c>
      <c r="H1149" s="32"/>
      <c r="I1149" s="32">
        <v>148501895</v>
      </c>
      <c r="J1149" s="32">
        <v>2028601972.9000001</v>
      </c>
      <c r="M1149" s="21">
        <v>50364000000</v>
      </c>
    </row>
    <row r="1150" spans="1:13">
      <c r="A1150" s="4">
        <v>44979</v>
      </c>
      <c r="B1150" s="32"/>
      <c r="C1150" s="32"/>
      <c r="D1150" s="32">
        <v>2387909352</v>
      </c>
      <c r="E1150" s="32"/>
      <c r="F1150" s="32">
        <v>2387909352</v>
      </c>
      <c r="G1150" s="33">
        <v>325228787</v>
      </c>
      <c r="H1150" s="32"/>
      <c r="I1150" s="32">
        <v>325228787</v>
      </c>
      <c r="J1150" s="32">
        <v>2713138139</v>
      </c>
      <c r="M1150" s="21">
        <v>53035000000</v>
      </c>
    </row>
    <row r="1151" spans="1:13">
      <c r="A1151" s="4">
        <v>44980</v>
      </c>
      <c r="B1151" s="32"/>
      <c r="C1151" s="32">
        <v>549591775.28999996</v>
      </c>
      <c r="D1151" s="32">
        <v>898347573.11000001</v>
      </c>
      <c r="E1151" s="32"/>
      <c r="F1151" s="32">
        <v>898347573.11000001</v>
      </c>
      <c r="G1151" s="33">
        <v>75723498</v>
      </c>
      <c r="H1151" s="32" t="s">
        <v>75</v>
      </c>
      <c r="I1151" s="32">
        <v>75723498</v>
      </c>
      <c r="J1151" s="32">
        <v>974071071.11000001</v>
      </c>
      <c r="M1151" s="21">
        <v>55695000000</v>
      </c>
    </row>
    <row r="1152" spans="1:13">
      <c r="A1152" s="4">
        <v>44981</v>
      </c>
      <c r="B1152" s="32"/>
      <c r="C1152" s="32"/>
      <c r="D1152" s="32">
        <v>1382236642</v>
      </c>
      <c r="E1152" s="32">
        <v>4145750</v>
      </c>
      <c r="F1152" s="32">
        <v>1386382392</v>
      </c>
      <c r="G1152" s="33">
        <v>48027740</v>
      </c>
      <c r="H1152" s="32">
        <v>100000000</v>
      </c>
      <c r="I1152" s="32">
        <v>148027740</v>
      </c>
      <c r="J1152" s="32">
        <v>1534410132</v>
      </c>
      <c r="M1152" s="21">
        <v>58443000000</v>
      </c>
    </row>
    <row r="1153" spans="1:13">
      <c r="A1153" s="4">
        <v>44982</v>
      </c>
      <c r="B1153" s="32"/>
      <c r="C1153" s="32"/>
      <c r="D1153" s="32"/>
      <c r="E1153" s="32"/>
      <c r="F1153" s="32" t="s">
        <v>75</v>
      </c>
      <c r="G1153" s="33">
        <v>800</v>
      </c>
      <c r="H1153" s="32"/>
      <c r="I1153" s="32">
        <v>800</v>
      </c>
      <c r="J1153" s="32">
        <v>800</v>
      </c>
      <c r="M1153" s="21">
        <v>58443000000</v>
      </c>
    </row>
    <row r="1154" spans="1:13">
      <c r="A1154" s="4">
        <v>44983</v>
      </c>
      <c r="B1154" s="32"/>
      <c r="C1154" s="32"/>
      <c r="D1154" s="32"/>
      <c r="E1154" s="32"/>
      <c r="F1154" s="32" t="s">
        <v>75</v>
      </c>
      <c r="G1154" s="33">
        <v>550</v>
      </c>
      <c r="H1154" s="32"/>
      <c r="I1154" s="32">
        <v>550</v>
      </c>
      <c r="J1154" s="32">
        <v>550</v>
      </c>
      <c r="M1154" s="21">
        <v>58443000000</v>
      </c>
    </row>
    <row r="1155" spans="1:13">
      <c r="A1155" s="4">
        <v>44984</v>
      </c>
      <c r="B1155" s="32"/>
      <c r="C1155" s="32"/>
      <c r="D1155" s="32">
        <v>1512356699</v>
      </c>
      <c r="E1155" s="32"/>
      <c r="F1155" s="32">
        <v>1512356699</v>
      </c>
      <c r="G1155" s="33">
        <v>345081202</v>
      </c>
      <c r="H1155" s="32"/>
      <c r="I1155" s="32">
        <v>345081202</v>
      </c>
      <c r="J1155" s="32">
        <v>1857437901</v>
      </c>
      <c r="M1155" s="21">
        <v>61088000000</v>
      </c>
    </row>
    <row r="1156" spans="1:13">
      <c r="A1156" s="4">
        <v>44985</v>
      </c>
      <c r="B1156" s="32"/>
      <c r="C1156" s="32"/>
      <c r="D1156" s="32">
        <v>1917013983</v>
      </c>
      <c r="E1156" s="32" t="s">
        <v>74</v>
      </c>
      <c r="F1156" s="32">
        <v>1917013983</v>
      </c>
      <c r="G1156" s="33">
        <v>1031780139</v>
      </c>
      <c r="H1156" s="32" t="s">
        <v>75</v>
      </c>
      <c r="I1156" s="32">
        <v>1031780139</v>
      </c>
      <c r="J1156" s="32">
        <v>2948794122</v>
      </c>
      <c r="M1156" s="21">
        <v>63747000000</v>
      </c>
    </row>
    <row r="1157" spans="1:13">
      <c r="A1157" s="4">
        <v>44986</v>
      </c>
      <c r="B1157" s="32"/>
      <c r="C1157" s="32"/>
      <c r="D1157" s="32">
        <v>1223037230</v>
      </c>
      <c r="E1157" s="32"/>
      <c r="F1157" s="32">
        <v>1223037230</v>
      </c>
      <c r="G1157" s="33">
        <v>8918463</v>
      </c>
      <c r="H1157" s="32"/>
      <c r="I1157" s="32">
        <v>8918463</v>
      </c>
      <c r="J1157" s="32">
        <v>1231955693</v>
      </c>
      <c r="M1157" s="21">
        <v>2953000000</v>
      </c>
    </row>
    <row r="1158" spans="1:13">
      <c r="A1158" s="4">
        <v>44987</v>
      </c>
      <c r="B1158" s="32"/>
      <c r="C1158" s="32"/>
      <c r="D1158" s="32">
        <v>1876738380</v>
      </c>
      <c r="E1158" s="32"/>
      <c r="F1158" s="32">
        <v>1876738380</v>
      </c>
      <c r="G1158" s="33">
        <v>134290119</v>
      </c>
      <c r="H1158" s="32"/>
      <c r="I1158" s="32">
        <v>134290119</v>
      </c>
      <c r="J1158" s="32">
        <v>2011028499</v>
      </c>
      <c r="M1158" s="21">
        <v>5896000000</v>
      </c>
    </row>
    <row r="1159" spans="1:13">
      <c r="A1159" s="4">
        <v>44988</v>
      </c>
      <c r="B1159" s="32"/>
      <c r="C1159" s="32"/>
      <c r="D1159" s="32">
        <v>1645864610</v>
      </c>
      <c r="E1159" s="32">
        <v>1800</v>
      </c>
      <c r="F1159" s="32">
        <v>1645866410</v>
      </c>
      <c r="G1159" s="33">
        <v>100891551</v>
      </c>
      <c r="H1159" s="32">
        <v>100000000</v>
      </c>
      <c r="I1159" s="32">
        <v>200891551</v>
      </c>
      <c r="J1159" s="32">
        <v>1846757961</v>
      </c>
      <c r="M1159" s="21">
        <v>8926000000</v>
      </c>
    </row>
    <row r="1160" spans="1:13">
      <c r="A1160" s="4">
        <v>44989</v>
      </c>
      <c r="B1160" s="32"/>
      <c r="C1160" s="32"/>
      <c r="D1160" s="32"/>
      <c r="E1160" s="32"/>
      <c r="F1160" s="32" t="s">
        <v>46</v>
      </c>
      <c r="G1160" s="33">
        <v>2767718</v>
      </c>
      <c r="H1160" s="32"/>
      <c r="I1160" s="32">
        <v>2767718</v>
      </c>
      <c r="J1160" s="32">
        <v>2767718</v>
      </c>
      <c r="M1160" s="21">
        <v>8926000000</v>
      </c>
    </row>
    <row r="1161" spans="1:13">
      <c r="A1161" s="4">
        <v>44990</v>
      </c>
      <c r="B1161" s="32"/>
      <c r="C1161" s="32"/>
      <c r="D1161" s="32"/>
      <c r="E1161" s="32"/>
      <c r="F1161" s="32" t="s">
        <v>46</v>
      </c>
      <c r="G1161" s="33">
        <v>7502156</v>
      </c>
      <c r="H1161" s="32"/>
      <c r="I1161" s="32">
        <v>7502156</v>
      </c>
      <c r="J1161" s="32">
        <v>7502156</v>
      </c>
      <c r="M1161" s="21">
        <v>8926000000</v>
      </c>
    </row>
    <row r="1162" spans="1:13">
      <c r="A1162" s="4">
        <v>44991</v>
      </c>
      <c r="B1162" s="32"/>
      <c r="C1162" s="32"/>
      <c r="D1162" s="32">
        <v>1645864610</v>
      </c>
      <c r="E1162" s="32"/>
      <c r="F1162" s="32">
        <v>1645864610</v>
      </c>
      <c r="G1162" s="33">
        <v>1494900</v>
      </c>
      <c r="H1162" s="32"/>
      <c r="I1162" s="32">
        <v>1494900</v>
      </c>
      <c r="J1162" s="32">
        <v>1647359510</v>
      </c>
      <c r="M1162" s="21">
        <v>8926000000</v>
      </c>
    </row>
    <row r="1163" spans="1:13">
      <c r="A1163" s="4">
        <v>44992</v>
      </c>
      <c r="B1163" s="32"/>
      <c r="C1163" s="32"/>
      <c r="D1163" s="32">
        <v>2102028031.3</v>
      </c>
      <c r="E1163" s="32"/>
      <c r="F1163" s="32">
        <v>2102028031.3</v>
      </c>
      <c r="G1163" s="33">
        <v>987083952</v>
      </c>
      <c r="H1163" s="32"/>
      <c r="I1163" s="32">
        <v>987083952</v>
      </c>
      <c r="J1163" s="32">
        <v>3089111983.3000002</v>
      </c>
      <c r="M1163" s="21">
        <v>11869000000</v>
      </c>
    </row>
    <row r="1164" spans="1:13">
      <c r="A1164" s="4">
        <v>44993</v>
      </c>
      <c r="B1164" s="32"/>
      <c r="C1164" s="32"/>
      <c r="D1164" s="32">
        <v>1835529349</v>
      </c>
      <c r="E1164" s="32"/>
      <c r="F1164" s="32">
        <v>1835529349</v>
      </c>
      <c r="G1164" s="33">
        <v>61756776</v>
      </c>
      <c r="H1164" s="32"/>
      <c r="I1164" s="32">
        <v>61756776</v>
      </c>
      <c r="J1164" s="32">
        <v>1897286125</v>
      </c>
      <c r="M1164" s="21">
        <v>14824000000</v>
      </c>
    </row>
    <row r="1165" spans="1:13">
      <c r="A1165" s="4">
        <v>44994</v>
      </c>
      <c r="B1165" s="32"/>
      <c r="C1165" s="32"/>
      <c r="D1165" s="32">
        <v>1744377374.0999999</v>
      </c>
      <c r="E1165" s="32"/>
      <c r="F1165" s="32">
        <v>1744377374.0999999</v>
      </c>
      <c r="G1165" s="33">
        <v>109585666</v>
      </c>
      <c r="H1165" s="32">
        <v>8452043680</v>
      </c>
      <c r="I1165" s="32">
        <v>8561629346</v>
      </c>
      <c r="J1165" s="32">
        <v>10306006720.1</v>
      </c>
      <c r="M1165" s="21">
        <v>28155000000</v>
      </c>
    </row>
    <row r="1166" spans="1:13">
      <c r="A1166" s="4">
        <v>44995</v>
      </c>
      <c r="B1166" s="32"/>
      <c r="C1166" s="32"/>
      <c r="D1166" s="32">
        <v>1669822255.5999999</v>
      </c>
      <c r="E1166" s="32"/>
      <c r="F1166" s="32">
        <v>1669822255.5999999</v>
      </c>
      <c r="G1166" s="33">
        <v>134358572</v>
      </c>
      <c r="H1166" s="32">
        <v>100000000</v>
      </c>
      <c r="I1166" s="32">
        <v>234358572</v>
      </c>
      <c r="J1166" s="32">
        <v>1904180827.5999999</v>
      </c>
      <c r="M1166" s="21">
        <v>31086000000</v>
      </c>
    </row>
    <row r="1167" spans="1:13">
      <c r="A1167" s="4">
        <v>44996</v>
      </c>
      <c r="B1167" s="32"/>
      <c r="C1167" s="32"/>
      <c r="D1167" s="32"/>
      <c r="E1167" s="32"/>
      <c r="F1167" s="32" t="s">
        <v>46</v>
      </c>
      <c r="G1167" s="33">
        <v>19505350</v>
      </c>
      <c r="H1167" s="32"/>
      <c r="I1167" s="32">
        <v>19505350</v>
      </c>
      <c r="J1167" s="32">
        <v>19505350</v>
      </c>
      <c r="M1167" s="21">
        <v>31086000000</v>
      </c>
    </row>
    <row r="1168" spans="1:13">
      <c r="A1168" s="4">
        <v>44997</v>
      </c>
      <c r="B1168" s="32"/>
      <c r="C1168" s="32"/>
      <c r="D1168" s="32"/>
      <c r="E1168" s="32"/>
      <c r="F1168" s="32" t="s">
        <v>46</v>
      </c>
      <c r="G1168" s="33"/>
      <c r="H1168" s="32"/>
      <c r="I1168" s="32" t="s">
        <v>75</v>
      </c>
      <c r="J1168" s="32" t="s">
        <v>75</v>
      </c>
      <c r="M1168" s="21">
        <v>31086000000</v>
      </c>
    </row>
    <row r="1169" spans="1:13">
      <c r="A1169" s="4">
        <v>44998</v>
      </c>
      <c r="B1169" s="32"/>
      <c r="C1169" s="32"/>
      <c r="D1169" s="32">
        <v>2369382382</v>
      </c>
      <c r="E1169" s="32">
        <v>3430238</v>
      </c>
      <c r="F1169" s="32">
        <v>2372812620</v>
      </c>
      <c r="G1169" s="33">
        <v>81055256</v>
      </c>
      <c r="H1169" s="32" t="s">
        <v>77</v>
      </c>
      <c r="I1169" s="32">
        <v>81055256</v>
      </c>
      <c r="J1169" s="32">
        <v>2453867876</v>
      </c>
      <c r="M1169" s="21">
        <v>34019000000</v>
      </c>
    </row>
    <row r="1170" spans="1:13">
      <c r="A1170" s="4">
        <v>44999</v>
      </c>
      <c r="B1170" s="32"/>
      <c r="C1170" s="32"/>
      <c r="D1170" s="32">
        <v>2498506075</v>
      </c>
      <c r="E1170" s="32"/>
      <c r="F1170" s="32">
        <v>2498506075</v>
      </c>
      <c r="G1170" s="33">
        <v>184868470</v>
      </c>
      <c r="H1170" s="32"/>
      <c r="I1170" s="32">
        <v>184868470</v>
      </c>
      <c r="J1170" s="32">
        <v>2683374545</v>
      </c>
      <c r="M1170" s="21">
        <v>36966000000</v>
      </c>
    </row>
    <row r="1171" spans="1:13">
      <c r="A1171" s="4">
        <v>45000</v>
      </c>
      <c r="B1171" s="32"/>
      <c r="C1171" s="32"/>
      <c r="D1171" s="32">
        <v>1436702698.4000001</v>
      </c>
      <c r="E1171" s="32"/>
      <c r="F1171" s="32">
        <v>1436702698.4000001</v>
      </c>
      <c r="G1171" s="33">
        <v>76171779</v>
      </c>
      <c r="H1171" s="32"/>
      <c r="I1171" s="32">
        <v>76171779</v>
      </c>
      <c r="J1171" s="32">
        <v>1512874477.4000001</v>
      </c>
      <c r="M1171" s="21">
        <v>39914000000</v>
      </c>
    </row>
    <row r="1172" spans="1:13">
      <c r="A1172" s="4">
        <v>45001</v>
      </c>
      <c r="B1172" s="32"/>
      <c r="C1172" s="32"/>
      <c r="D1172" s="32">
        <v>1518878478.2</v>
      </c>
      <c r="E1172" s="32"/>
      <c r="F1172" s="32">
        <v>1518878478.2</v>
      </c>
      <c r="G1172" s="33">
        <v>54914559</v>
      </c>
      <c r="H1172" s="32"/>
      <c r="I1172" s="32">
        <v>54914559</v>
      </c>
      <c r="J1172" s="32">
        <v>1573793037.2</v>
      </c>
      <c r="M1172" s="21">
        <v>42860000000</v>
      </c>
    </row>
    <row r="1173" spans="1:13">
      <c r="A1173" s="4">
        <v>45002</v>
      </c>
      <c r="B1173" s="32"/>
      <c r="C1173" s="32"/>
      <c r="D1173" s="32">
        <v>3992925647</v>
      </c>
      <c r="E1173" s="32">
        <v>1351100</v>
      </c>
      <c r="F1173" s="32">
        <v>3994276747</v>
      </c>
      <c r="G1173" s="33">
        <v>80351305</v>
      </c>
      <c r="H1173" s="32">
        <v>100000000</v>
      </c>
      <c r="I1173" s="32">
        <v>180351305</v>
      </c>
      <c r="J1173" s="32">
        <v>4174628052</v>
      </c>
      <c r="M1173" s="21">
        <v>45894000000</v>
      </c>
    </row>
    <row r="1174" spans="1:13">
      <c r="A1174" s="4">
        <v>45003</v>
      </c>
      <c r="B1174" s="32"/>
      <c r="C1174" s="32"/>
      <c r="D1174" s="32"/>
      <c r="E1174" s="32"/>
      <c r="F1174" s="32" t="s">
        <v>46</v>
      </c>
      <c r="G1174" s="33">
        <v>12292500</v>
      </c>
      <c r="H1174" s="32"/>
      <c r="I1174" s="32">
        <v>12292500</v>
      </c>
      <c r="J1174" s="32">
        <v>12292500</v>
      </c>
      <c r="M1174" s="21">
        <v>45894000000</v>
      </c>
    </row>
    <row r="1175" spans="1:13">
      <c r="A1175" s="4">
        <v>45004</v>
      </c>
      <c r="B1175" s="32"/>
      <c r="C1175" s="32"/>
      <c r="D1175" s="32"/>
      <c r="E1175" s="32"/>
      <c r="F1175" s="32" t="s">
        <v>46</v>
      </c>
      <c r="G1175" s="33">
        <v>12855600</v>
      </c>
      <c r="H1175" s="32"/>
      <c r="I1175" s="32">
        <v>12855600</v>
      </c>
      <c r="J1175" s="32">
        <v>12855600</v>
      </c>
      <c r="M1175" s="21">
        <v>45894000000</v>
      </c>
    </row>
    <row r="1176" spans="1:13">
      <c r="A1176" s="4">
        <v>45005</v>
      </c>
      <c r="B1176" s="32"/>
      <c r="C1176" s="32"/>
      <c r="D1176" s="32">
        <v>2748526684.3200002</v>
      </c>
      <c r="E1176" s="32"/>
      <c r="F1176" s="32">
        <v>2748526684.3200002</v>
      </c>
      <c r="G1176" s="33">
        <v>82288756</v>
      </c>
      <c r="H1176" s="32"/>
      <c r="I1176" s="32">
        <v>82288756</v>
      </c>
      <c r="J1176" s="32">
        <v>2830815440.3200002</v>
      </c>
      <c r="M1176" s="21">
        <v>48827000000</v>
      </c>
    </row>
    <row r="1177" spans="1:13">
      <c r="A1177" s="4">
        <v>45006</v>
      </c>
      <c r="B1177" s="32"/>
      <c r="C1177" s="32"/>
      <c r="D1177" s="32">
        <v>1865632921</v>
      </c>
      <c r="E1177" s="32">
        <v>1100</v>
      </c>
      <c r="F1177" s="32">
        <v>1865634021</v>
      </c>
      <c r="G1177" s="33">
        <v>56208279</v>
      </c>
      <c r="H1177" s="32" t="s">
        <v>77</v>
      </c>
      <c r="I1177" s="32">
        <v>56208279</v>
      </c>
      <c r="J1177" s="32">
        <v>1921842300</v>
      </c>
      <c r="M1177" s="21">
        <v>51773000000</v>
      </c>
    </row>
    <row r="1178" spans="1:13">
      <c r="A1178" s="4">
        <v>45007</v>
      </c>
      <c r="B1178" s="32"/>
      <c r="C1178" s="32"/>
      <c r="D1178" s="32">
        <v>2095487063</v>
      </c>
      <c r="E1178" s="32"/>
      <c r="F1178" s="32">
        <v>2095487063</v>
      </c>
      <c r="G1178" s="33">
        <v>165222193</v>
      </c>
      <c r="H1178" s="32"/>
      <c r="I1178" s="32">
        <v>165222193</v>
      </c>
      <c r="J1178" s="32">
        <v>2260709256</v>
      </c>
      <c r="M1178" s="21">
        <v>54731000000</v>
      </c>
    </row>
    <row r="1179" spans="1:13">
      <c r="A1179" s="4">
        <v>45008</v>
      </c>
      <c r="B1179" s="32"/>
      <c r="C1179" s="32"/>
      <c r="D1179" s="32">
        <v>1457800309</v>
      </c>
      <c r="E1179" s="32"/>
      <c r="F1179" s="32">
        <v>1457800309</v>
      </c>
      <c r="G1179" s="33">
        <v>56968151</v>
      </c>
      <c r="H1179" s="32"/>
      <c r="I1179" s="32">
        <v>56968151</v>
      </c>
      <c r="J1179" s="32">
        <v>1514768460</v>
      </c>
      <c r="M1179" s="21">
        <v>57677000000</v>
      </c>
    </row>
    <row r="1180" spans="1:13">
      <c r="A1180" s="4">
        <v>45009</v>
      </c>
      <c r="B1180" s="32"/>
      <c r="C1180" s="32"/>
      <c r="D1180" s="32">
        <v>1647637525.2</v>
      </c>
      <c r="E1180" s="32">
        <v>4092148</v>
      </c>
      <c r="F1180" s="32">
        <v>1651729673.2</v>
      </c>
      <c r="G1180" s="33">
        <v>75219123</v>
      </c>
      <c r="H1180" s="32">
        <v>100000000</v>
      </c>
      <c r="I1180" s="32">
        <v>175219123</v>
      </c>
      <c r="J1180" s="32">
        <v>1826948796.2</v>
      </c>
      <c r="M1180" s="21">
        <v>60710000000</v>
      </c>
    </row>
    <row r="1181" spans="1:13">
      <c r="A1181" s="4">
        <v>45010</v>
      </c>
      <c r="B1181" s="32"/>
      <c r="C1181" s="32"/>
      <c r="D1181" s="32"/>
      <c r="E1181" s="32"/>
      <c r="F1181" s="32" t="s">
        <v>46</v>
      </c>
      <c r="G1181" s="33">
        <v>33959973</v>
      </c>
      <c r="H1181" s="32"/>
      <c r="I1181" s="32">
        <v>33959973</v>
      </c>
      <c r="J1181" s="32">
        <v>33959973</v>
      </c>
      <c r="M1181" s="21">
        <v>60710000000</v>
      </c>
    </row>
    <row r="1182" spans="1:13">
      <c r="A1182" s="4">
        <v>45011</v>
      </c>
      <c r="B1182" s="32"/>
      <c r="C1182" s="32"/>
      <c r="D1182" s="32"/>
      <c r="E1182" s="32"/>
      <c r="F1182" s="32" t="s">
        <v>46</v>
      </c>
      <c r="G1182" s="33"/>
      <c r="H1182" s="32"/>
      <c r="I1182" s="32" t="s">
        <v>75</v>
      </c>
      <c r="J1182" s="32" t="s">
        <v>75</v>
      </c>
      <c r="M1182" s="21">
        <v>60710000000</v>
      </c>
    </row>
    <row r="1183" spans="1:13">
      <c r="A1183" s="4">
        <v>45012</v>
      </c>
      <c r="B1183" s="32"/>
      <c r="C1183" s="32">
        <v>462614246.54000002</v>
      </c>
      <c r="D1183" s="32">
        <v>1953448881.46</v>
      </c>
      <c r="E1183" s="32">
        <v>3874350</v>
      </c>
      <c r="F1183" s="32">
        <v>1957323231.46</v>
      </c>
      <c r="G1183" s="33">
        <v>100869353</v>
      </c>
      <c r="H1183" s="32"/>
      <c r="I1183" s="32">
        <v>100869353</v>
      </c>
      <c r="J1183" s="32">
        <v>2058192584.46</v>
      </c>
      <c r="M1183" s="21">
        <v>63640000000</v>
      </c>
    </row>
    <row r="1184" spans="1:13">
      <c r="A1184" s="4">
        <v>45013</v>
      </c>
      <c r="B1184" s="32"/>
      <c r="C1184" s="32"/>
      <c r="D1184" s="32">
        <v>1757211583.5</v>
      </c>
      <c r="E1184" s="32"/>
      <c r="F1184" s="32">
        <v>1757211583.5</v>
      </c>
      <c r="G1184" s="33">
        <v>111896658</v>
      </c>
      <c r="H1184" s="32"/>
      <c r="I1184" s="32">
        <v>111896658</v>
      </c>
      <c r="J1184" s="32">
        <v>1869108241.5</v>
      </c>
      <c r="M1184" s="21">
        <v>66585000000</v>
      </c>
    </row>
    <row r="1185" spans="1:13">
      <c r="A1185" s="4">
        <v>45014</v>
      </c>
      <c r="B1185" s="32"/>
      <c r="C1185" s="32"/>
      <c r="D1185" s="32">
        <v>2948371518.5</v>
      </c>
      <c r="E1185" s="32"/>
      <c r="F1185" s="32">
        <v>2948371518.5</v>
      </c>
      <c r="G1185" s="33">
        <v>75634308</v>
      </c>
      <c r="H1185" s="32"/>
      <c r="I1185" s="32">
        <v>75634308</v>
      </c>
      <c r="J1185" s="32">
        <v>3024005826.5</v>
      </c>
      <c r="M1185" s="21">
        <v>69544000000</v>
      </c>
    </row>
    <row r="1186" spans="1:13">
      <c r="A1186" s="4">
        <v>45015</v>
      </c>
      <c r="B1186" s="32"/>
      <c r="C1186" s="32"/>
      <c r="D1186" s="32">
        <v>1847614379.4000001</v>
      </c>
      <c r="E1186" s="32"/>
      <c r="F1186" s="32">
        <v>1847614379.4000001</v>
      </c>
      <c r="G1186" s="33">
        <v>68231320</v>
      </c>
      <c r="H1186" s="32"/>
      <c r="I1186" s="32">
        <v>68231320</v>
      </c>
      <c r="J1186" s="32">
        <v>1915845699.4000001</v>
      </c>
      <c r="M1186" s="21">
        <v>69529000000</v>
      </c>
    </row>
    <row r="1187" spans="1:13">
      <c r="A1187" s="4">
        <v>45016</v>
      </c>
      <c r="B1187" s="32"/>
      <c r="C1187" s="32"/>
      <c r="D1187" s="32">
        <v>3598967667.9400001</v>
      </c>
      <c r="E1187" s="32">
        <v>14525040</v>
      </c>
      <c r="F1187" s="32">
        <v>3613492707.9400001</v>
      </c>
      <c r="G1187" s="33">
        <v>74609406</v>
      </c>
      <c r="H1187" s="32">
        <v>100000000</v>
      </c>
      <c r="I1187" s="32">
        <v>174609406</v>
      </c>
      <c r="J1187" s="32">
        <v>3788102113.9400001</v>
      </c>
    </row>
    <row r="1188" spans="1:13">
      <c r="A1188" s="4">
        <v>45017</v>
      </c>
      <c r="B1188" s="32"/>
      <c r="C1188" s="32"/>
      <c r="D1188" s="32"/>
      <c r="E1188" s="32"/>
      <c r="F1188" s="32" t="s">
        <v>75</v>
      </c>
      <c r="G1188" s="33">
        <v>29110058</v>
      </c>
      <c r="H1188" s="32"/>
      <c r="I1188" s="32">
        <v>29110058</v>
      </c>
      <c r="J1188" s="32">
        <v>29110058</v>
      </c>
      <c r="M1188" s="21" t="s">
        <v>76</v>
      </c>
    </row>
    <row r="1189" spans="1:13">
      <c r="A1189" s="4">
        <v>45018</v>
      </c>
      <c r="B1189" s="32"/>
      <c r="C1189" s="32"/>
      <c r="D1189" s="32"/>
      <c r="E1189" s="32"/>
      <c r="F1189" s="32" t="s">
        <v>75</v>
      </c>
      <c r="G1189" s="33">
        <v>504300</v>
      </c>
      <c r="H1189" s="32"/>
      <c r="I1189" s="32">
        <v>504300</v>
      </c>
      <c r="J1189" s="32">
        <v>504300</v>
      </c>
      <c r="M1189" s="21" t="s">
        <v>76</v>
      </c>
    </row>
    <row r="1190" spans="1:13">
      <c r="A1190" s="4">
        <v>45019</v>
      </c>
      <c r="B1190" s="32"/>
      <c r="C1190" s="32"/>
      <c r="D1190" s="32">
        <v>2288389362.9699998</v>
      </c>
      <c r="E1190" s="32"/>
      <c r="F1190" s="32">
        <v>2288389362.9699998</v>
      </c>
      <c r="G1190" s="33">
        <v>161118636</v>
      </c>
      <c r="H1190" s="32">
        <v>5000000000</v>
      </c>
      <c r="I1190" s="32">
        <v>5161118636</v>
      </c>
      <c r="J1190" s="32">
        <v>7449507998.9700003</v>
      </c>
      <c r="M1190" s="21">
        <v>3528000000</v>
      </c>
    </row>
    <row r="1191" spans="1:13">
      <c r="A1191" s="4">
        <v>45020</v>
      </c>
      <c r="B1191" s="32"/>
      <c r="C1191" s="32"/>
      <c r="D1191" s="32">
        <v>2641843191</v>
      </c>
      <c r="E1191" s="32">
        <v>1200</v>
      </c>
      <c r="F1191" s="32">
        <v>2641844391</v>
      </c>
      <c r="G1191" s="33">
        <v>110979844</v>
      </c>
      <c r="H1191" s="32"/>
      <c r="I1191" s="32">
        <v>110979844</v>
      </c>
      <c r="J1191" s="32">
        <v>2752824235</v>
      </c>
      <c r="M1191" s="21">
        <v>7069000000</v>
      </c>
    </row>
    <row r="1192" spans="1:13">
      <c r="A1192" s="4">
        <v>45021</v>
      </c>
      <c r="B1192" s="32"/>
      <c r="C1192" s="32"/>
      <c r="D1192" s="32"/>
      <c r="E1192" s="32"/>
      <c r="F1192" s="32" t="s">
        <v>75</v>
      </c>
      <c r="G1192" s="33">
        <v>626462</v>
      </c>
      <c r="H1192" s="32"/>
      <c r="I1192" s="32">
        <v>626462</v>
      </c>
      <c r="J1192" s="32">
        <v>626462</v>
      </c>
      <c r="M1192" s="21">
        <v>7069000000</v>
      </c>
    </row>
    <row r="1193" spans="1:13">
      <c r="A1193" s="4">
        <v>45022</v>
      </c>
      <c r="B1193" s="32"/>
      <c r="C1193" s="32"/>
      <c r="D1193" s="32">
        <v>2709505645</v>
      </c>
      <c r="E1193" s="32"/>
      <c r="F1193" s="32">
        <v>2709505645</v>
      </c>
      <c r="G1193" s="33">
        <v>115891289</v>
      </c>
      <c r="H1193" s="32">
        <v>4981789920</v>
      </c>
      <c r="I1193" s="32">
        <v>5097681209</v>
      </c>
      <c r="J1193" s="32">
        <v>7807186854</v>
      </c>
      <c r="M1193" s="21">
        <v>22395000000</v>
      </c>
    </row>
    <row r="1194" spans="1:13">
      <c r="A1194" s="4">
        <v>45023</v>
      </c>
      <c r="B1194" s="32"/>
      <c r="C1194" s="32"/>
      <c r="D1194" s="32"/>
      <c r="E1194" s="32"/>
      <c r="F1194" s="32" t="s">
        <v>75</v>
      </c>
      <c r="G1194" s="33">
        <v>7010000</v>
      </c>
      <c r="H1194" s="32"/>
      <c r="I1194" s="32">
        <v>7010000</v>
      </c>
      <c r="J1194" s="32">
        <v>7010000</v>
      </c>
      <c r="M1194" s="21">
        <v>22395000000</v>
      </c>
    </row>
    <row r="1195" spans="1:13">
      <c r="A1195" s="4">
        <v>45024</v>
      </c>
      <c r="B1195" s="32"/>
      <c r="C1195" s="32"/>
      <c r="D1195" s="32"/>
      <c r="E1195" s="32"/>
      <c r="F1195" s="32" t="s">
        <v>75</v>
      </c>
      <c r="G1195" s="33">
        <v>5320703</v>
      </c>
      <c r="H1195" s="32"/>
      <c r="I1195" s="32">
        <v>5320703</v>
      </c>
      <c r="J1195" s="32">
        <v>5320703</v>
      </c>
      <c r="M1195" s="21">
        <v>22395000000</v>
      </c>
    </row>
    <row r="1196" spans="1:13">
      <c r="A1196" s="4">
        <v>45025</v>
      </c>
      <c r="B1196" s="32"/>
      <c r="C1196" s="32"/>
      <c r="D1196" s="32"/>
      <c r="E1196" s="32"/>
      <c r="F1196" s="32" t="s">
        <v>75</v>
      </c>
      <c r="G1196" s="33"/>
      <c r="H1196" s="32"/>
      <c r="I1196" s="32" t="s">
        <v>75</v>
      </c>
      <c r="J1196" s="32" t="s">
        <v>76</v>
      </c>
      <c r="M1196" s="21">
        <v>22395000000</v>
      </c>
    </row>
    <row r="1197" spans="1:13">
      <c r="A1197" s="4">
        <v>45026</v>
      </c>
      <c r="B1197" s="32"/>
      <c r="C1197" s="32"/>
      <c r="D1197" s="32">
        <v>3915179510</v>
      </c>
      <c r="E1197" s="32"/>
      <c r="F1197" s="32">
        <v>3915179510</v>
      </c>
      <c r="G1197" s="33">
        <v>192716314</v>
      </c>
      <c r="H1197" s="32"/>
      <c r="I1197" s="32">
        <v>192716314</v>
      </c>
      <c r="J1197" s="32">
        <v>4107895824</v>
      </c>
      <c r="M1197" s="21">
        <v>25927000000</v>
      </c>
    </row>
    <row r="1198" spans="1:13">
      <c r="A1198" s="4">
        <v>45027</v>
      </c>
      <c r="B1198" s="32"/>
      <c r="C1198" s="32"/>
      <c r="D1198" s="32">
        <v>3242934996</v>
      </c>
      <c r="E1198" s="32"/>
      <c r="F1198" s="32">
        <v>3242934996</v>
      </c>
      <c r="G1198" s="33">
        <v>91126137</v>
      </c>
      <c r="H1198" s="32"/>
      <c r="I1198" s="32">
        <v>91126137</v>
      </c>
      <c r="J1198" s="32">
        <v>3334061133</v>
      </c>
      <c r="M1198" s="21">
        <v>29470000000</v>
      </c>
    </row>
    <row r="1199" spans="1:13">
      <c r="A1199" s="4">
        <v>45028</v>
      </c>
      <c r="B1199" s="32"/>
      <c r="C1199" s="32"/>
      <c r="D1199" s="32">
        <v>1164388605</v>
      </c>
      <c r="E1199" s="32">
        <v>13734</v>
      </c>
      <c r="F1199" s="32">
        <v>1164402339</v>
      </c>
      <c r="G1199" s="33">
        <v>48584009</v>
      </c>
      <c r="H1199" s="32">
        <v>100000000</v>
      </c>
      <c r="I1199" s="32">
        <v>148584009</v>
      </c>
      <c r="J1199" s="32">
        <v>1312986348</v>
      </c>
      <c r="M1199" s="21">
        <v>33122000000</v>
      </c>
    </row>
    <row r="1200" spans="1:13">
      <c r="A1200" s="4">
        <v>45029</v>
      </c>
      <c r="B1200" s="32"/>
      <c r="C1200" s="32"/>
      <c r="D1200" s="32"/>
      <c r="E1200" s="32"/>
      <c r="F1200" s="32" t="s">
        <v>75</v>
      </c>
      <c r="G1200" s="33">
        <v>48584009</v>
      </c>
      <c r="H1200" s="32"/>
      <c r="I1200" s="32">
        <v>48584009</v>
      </c>
      <c r="J1200" s="32">
        <v>48584009</v>
      </c>
      <c r="M1200" s="21">
        <v>33122000000</v>
      </c>
    </row>
    <row r="1201" spans="1:13">
      <c r="A1201" s="4">
        <v>45030</v>
      </c>
      <c r="B1201" s="32"/>
      <c r="C1201" s="32"/>
      <c r="D1201" s="32"/>
      <c r="E1201" s="32"/>
      <c r="F1201" s="32" t="s">
        <v>75</v>
      </c>
      <c r="G1201" s="33">
        <v>8128250</v>
      </c>
      <c r="H1201" s="32"/>
      <c r="I1201" s="32">
        <v>8128250</v>
      </c>
      <c r="J1201" s="32">
        <v>8128250</v>
      </c>
      <c r="M1201" s="21">
        <v>33122000000</v>
      </c>
    </row>
    <row r="1202" spans="1:13">
      <c r="A1202" s="4">
        <v>45031</v>
      </c>
      <c r="B1202" s="32"/>
      <c r="C1202" s="32"/>
      <c r="D1202" s="32"/>
      <c r="E1202" s="32"/>
      <c r="F1202" s="32" t="s">
        <v>75</v>
      </c>
      <c r="G1202" s="33">
        <v>492550</v>
      </c>
      <c r="H1202" s="32"/>
      <c r="I1202" s="32">
        <v>492550</v>
      </c>
      <c r="J1202" s="32">
        <v>492550</v>
      </c>
      <c r="M1202" s="21">
        <v>33122000000</v>
      </c>
    </row>
    <row r="1203" spans="1:13">
      <c r="A1203" s="4">
        <v>45032</v>
      </c>
      <c r="B1203" s="32"/>
      <c r="C1203" s="32"/>
      <c r="D1203" s="32"/>
      <c r="E1203" s="32"/>
      <c r="F1203" s="32" t="s">
        <v>75</v>
      </c>
      <c r="G1203" s="33">
        <v>492550</v>
      </c>
      <c r="H1203" s="32"/>
      <c r="I1203" s="32">
        <v>492550</v>
      </c>
      <c r="J1203" s="32">
        <v>492550</v>
      </c>
      <c r="M1203" s="21">
        <v>33122000000</v>
      </c>
    </row>
    <row r="1204" spans="1:13">
      <c r="A1204" s="4">
        <v>45033</v>
      </c>
      <c r="B1204" s="32"/>
      <c r="C1204" s="32"/>
      <c r="D1204" s="32">
        <v>2060318661.77</v>
      </c>
      <c r="E1204" s="32"/>
      <c r="F1204" s="32">
        <v>2060318661.77</v>
      </c>
      <c r="G1204" s="33">
        <v>105734678</v>
      </c>
      <c r="H1204" s="32"/>
      <c r="I1204" s="32">
        <v>105734678</v>
      </c>
      <c r="J1204" s="32">
        <v>2166053339.77</v>
      </c>
      <c r="M1204" s="21">
        <v>36653000000</v>
      </c>
    </row>
    <row r="1205" spans="1:13">
      <c r="A1205" s="4">
        <v>45034</v>
      </c>
      <c r="B1205" s="32"/>
      <c r="C1205" s="32"/>
      <c r="D1205" s="32">
        <v>3248239366</v>
      </c>
      <c r="E1205" s="32"/>
      <c r="F1205" s="32">
        <v>3248239366</v>
      </c>
      <c r="G1205" s="33">
        <v>115706030</v>
      </c>
      <c r="H1205" s="32"/>
      <c r="I1205" s="32">
        <v>115706030</v>
      </c>
      <c r="J1205" s="32">
        <v>3363945396</v>
      </c>
      <c r="M1205" s="21">
        <v>40195000000</v>
      </c>
    </row>
    <row r="1206" spans="1:13">
      <c r="A1206" s="4">
        <v>45035</v>
      </c>
      <c r="B1206" s="32"/>
      <c r="C1206" s="32"/>
      <c r="D1206" s="32">
        <v>3271927677</v>
      </c>
      <c r="E1206" s="32"/>
      <c r="F1206" s="32">
        <v>3271927677</v>
      </c>
      <c r="G1206" s="33">
        <v>185734479</v>
      </c>
      <c r="H1206" s="32"/>
      <c r="I1206" s="32">
        <v>185734479</v>
      </c>
      <c r="J1206" s="32">
        <v>3457662156</v>
      </c>
      <c r="M1206" s="21">
        <v>43747000000</v>
      </c>
    </row>
    <row r="1207" spans="1:13">
      <c r="A1207" s="4">
        <v>45036</v>
      </c>
      <c r="B1207" s="32"/>
      <c r="C1207" s="32"/>
      <c r="D1207" s="32">
        <v>1981886586</v>
      </c>
      <c r="E1207" s="32">
        <v>1906144.31</v>
      </c>
      <c r="F1207" s="32">
        <v>1983792730.3099999</v>
      </c>
      <c r="G1207" s="33">
        <v>85422667</v>
      </c>
      <c r="H1207" s="32" t="s">
        <v>46</v>
      </c>
      <c r="I1207" s="32">
        <v>85422667</v>
      </c>
      <c r="J1207" s="32">
        <v>2069215397.3099999</v>
      </c>
      <c r="M1207" s="21">
        <v>47289000000</v>
      </c>
    </row>
    <row r="1208" spans="1:13">
      <c r="A1208" s="4">
        <v>45037</v>
      </c>
      <c r="B1208" s="32"/>
      <c r="C1208" s="32"/>
      <c r="D1208" s="32">
        <v>4457588850</v>
      </c>
      <c r="E1208" s="32"/>
      <c r="F1208" s="32">
        <v>4457588850</v>
      </c>
      <c r="G1208" s="33">
        <v>59455219</v>
      </c>
      <c r="H1208" s="32">
        <v>100000000</v>
      </c>
      <c r="I1208" s="32">
        <v>159455219</v>
      </c>
      <c r="J1208" s="32">
        <v>4617044069</v>
      </c>
      <c r="M1208" s="21">
        <v>50920000000</v>
      </c>
    </row>
    <row r="1209" spans="1:13">
      <c r="A1209" s="4">
        <v>45038</v>
      </c>
      <c r="B1209" s="32"/>
      <c r="C1209" s="32"/>
      <c r="D1209" s="32"/>
      <c r="E1209" s="32"/>
      <c r="F1209" s="32" t="s">
        <v>75</v>
      </c>
      <c r="G1209" s="33">
        <v>1424174</v>
      </c>
      <c r="H1209" s="32"/>
      <c r="I1209" s="32">
        <v>1424174</v>
      </c>
      <c r="J1209" s="32">
        <v>1424174</v>
      </c>
      <c r="M1209" s="21">
        <v>50920000000</v>
      </c>
    </row>
    <row r="1210" spans="1:13">
      <c r="A1210" s="4">
        <v>45039</v>
      </c>
      <c r="B1210" s="32"/>
      <c r="C1210" s="32"/>
      <c r="D1210" s="32"/>
      <c r="E1210" s="32"/>
      <c r="F1210" s="32" t="s">
        <v>75</v>
      </c>
      <c r="G1210" s="33">
        <v>5500</v>
      </c>
      <c r="H1210" s="32"/>
      <c r="I1210" s="32">
        <v>5500</v>
      </c>
      <c r="J1210" s="32">
        <v>5500</v>
      </c>
      <c r="M1210" s="21">
        <v>50920000000</v>
      </c>
    </row>
    <row r="1211" spans="1:13">
      <c r="A1211" s="4">
        <v>45040</v>
      </c>
      <c r="B1211" s="32"/>
      <c r="C1211" s="32"/>
      <c r="D1211" s="32">
        <v>1812750114</v>
      </c>
      <c r="E1211" s="32">
        <v>3996948</v>
      </c>
      <c r="F1211" s="32">
        <v>1816747062</v>
      </c>
      <c r="G1211" s="33">
        <v>83469962</v>
      </c>
      <c r="H1211" s="32"/>
      <c r="I1211" s="32">
        <v>83469962</v>
      </c>
      <c r="J1211" s="32">
        <v>1900217024</v>
      </c>
      <c r="M1211" s="21">
        <v>54452000000</v>
      </c>
    </row>
    <row r="1212" spans="1:13">
      <c r="A1212" s="4">
        <v>45041</v>
      </c>
      <c r="B1212" s="32"/>
      <c r="C1212" s="32"/>
      <c r="D1212" s="32">
        <v>1956866079</v>
      </c>
      <c r="E1212" s="32">
        <v>8789.76</v>
      </c>
      <c r="F1212" s="32">
        <v>1956874868.76</v>
      </c>
      <c r="G1212" s="33">
        <v>412877627</v>
      </c>
      <c r="H1212" s="32"/>
      <c r="I1212" s="32">
        <v>412877627</v>
      </c>
      <c r="J1212" s="32">
        <v>2369752495.7600002</v>
      </c>
      <c r="M1212" s="21">
        <v>57994000000</v>
      </c>
    </row>
    <row r="1213" spans="1:13">
      <c r="A1213" s="4">
        <v>45042</v>
      </c>
      <c r="B1213" s="32"/>
      <c r="C1213" s="32"/>
      <c r="D1213" s="32">
        <v>1354070051</v>
      </c>
      <c r="E1213" s="32">
        <v>115025.60000000001</v>
      </c>
      <c r="F1213" s="32">
        <v>1354185076.5999999</v>
      </c>
      <c r="G1213" s="33">
        <v>70420021</v>
      </c>
      <c r="H1213" s="32"/>
      <c r="I1213" s="32">
        <v>70420021</v>
      </c>
      <c r="J1213" s="32">
        <v>1424605097.5999999</v>
      </c>
      <c r="M1213" s="21">
        <v>61546000000</v>
      </c>
    </row>
    <row r="1214" spans="1:13">
      <c r="A1214" s="4">
        <v>45043</v>
      </c>
      <c r="B1214" s="32"/>
      <c r="C1214" s="32"/>
      <c r="D1214" s="32">
        <v>2253269931.9000001</v>
      </c>
      <c r="E1214" s="32">
        <v>8827796</v>
      </c>
      <c r="F1214" s="32">
        <v>2262097727.9000001</v>
      </c>
      <c r="G1214" s="33">
        <v>93871401</v>
      </c>
      <c r="H1214" s="32"/>
      <c r="I1214" s="32">
        <v>93871401</v>
      </c>
      <c r="J1214" s="32">
        <v>2355969128.9000001</v>
      </c>
      <c r="M1214" s="21">
        <v>65088000000</v>
      </c>
    </row>
    <row r="1215" spans="1:13">
      <c r="A1215" s="4">
        <v>45044</v>
      </c>
      <c r="B1215" s="32"/>
      <c r="C1215" s="32"/>
      <c r="D1215" s="32">
        <v>2336835741.77</v>
      </c>
      <c r="E1215" s="32">
        <v>175282311.38</v>
      </c>
      <c r="F1215" s="32">
        <v>2512118053.1500001</v>
      </c>
      <c r="G1215" s="33">
        <v>156184358</v>
      </c>
      <c r="H1215" s="32">
        <v>100000000</v>
      </c>
      <c r="I1215" s="32">
        <v>256184358</v>
      </c>
      <c r="J1215" s="32">
        <v>2768302411.1500001</v>
      </c>
      <c r="M1215" s="21">
        <v>68717000000</v>
      </c>
    </row>
    <row r="1216" spans="1:13">
      <c r="A1216" s="4">
        <v>45045</v>
      </c>
      <c r="B1216" s="32"/>
      <c r="C1216" s="32"/>
      <c r="D1216" s="32"/>
      <c r="E1216" s="32"/>
      <c r="F1216" s="32" t="s">
        <v>75</v>
      </c>
      <c r="G1216" s="33">
        <v>3074437</v>
      </c>
      <c r="H1216" s="32"/>
      <c r="I1216" s="32">
        <v>3074437</v>
      </c>
      <c r="J1216" s="32">
        <v>3074437</v>
      </c>
      <c r="M1216" s="21">
        <v>68717000000</v>
      </c>
    </row>
    <row r="1217" spans="1:13">
      <c r="A1217" s="4">
        <v>45046</v>
      </c>
      <c r="B1217" s="32"/>
      <c r="C1217" s="32"/>
      <c r="D1217" s="32"/>
      <c r="E1217" s="32"/>
      <c r="F1217" s="32" t="s">
        <v>75</v>
      </c>
      <c r="G1217" s="33">
        <v>1228150</v>
      </c>
      <c r="H1217" s="32"/>
      <c r="I1217" s="32">
        <v>1228150</v>
      </c>
      <c r="J1217" s="32">
        <v>1228150</v>
      </c>
      <c r="M1217" s="21">
        <v>68717000000</v>
      </c>
    </row>
    <row r="1218" spans="1:13">
      <c r="A1218" s="4">
        <v>45047</v>
      </c>
      <c r="B1218" s="32"/>
      <c r="C1218" s="32"/>
      <c r="D1218" s="33"/>
      <c r="E1218" s="33"/>
      <c r="F1218" s="32" t="s">
        <v>78</v>
      </c>
      <c r="G1218" s="33">
        <v>2716081</v>
      </c>
      <c r="H1218" s="32"/>
      <c r="I1218" s="32">
        <v>2716081</v>
      </c>
      <c r="J1218" s="32">
        <v>2716081</v>
      </c>
      <c r="M1218" s="21" t="s">
        <v>76</v>
      </c>
    </row>
    <row r="1219" spans="1:13">
      <c r="A1219" s="4">
        <v>45048</v>
      </c>
      <c r="B1219" s="32"/>
      <c r="C1219" s="32"/>
      <c r="D1219" s="33">
        <v>1756249610</v>
      </c>
      <c r="E1219" s="33">
        <v>517700449.62</v>
      </c>
      <c r="F1219" s="32">
        <v>2273950059.6199999</v>
      </c>
      <c r="G1219" s="33">
        <v>83662356</v>
      </c>
      <c r="H1219" s="32"/>
      <c r="I1219" s="32">
        <v>83662356</v>
      </c>
      <c r="J1219" s="32">
        <v>2357612415.6199999</v>
      </c>
      <c r="M1219" s="21">
        <v>2513000000</v>
      </c>
    </row>
    <row r="1220" spans="1:13">
      <c r="A1220" s="4">
        <v>45049</v>
      </c>
      <c r="B1220" s="32"/>
      <c r="C1220" s="32"/>
      <c r="D1220" s="33">
        <v>2756656279.6599998</v>
      </c>
      <c r="E1220" s="33"/>
      <c r="F1220" s="32">
        <v>2756656279.6599998</v>
      </c>
      <c r="G1220" s="33">
        <v>96442407</v>
      </c>
      <c r="H1220" s="32"/>
      <c r="I1220" s="32">
        <v>96442407</v>
      </c>
      <c r="J1220" s="32">
        <v>2853098686.6599998</v>
      </c>
      <c r="M1220" s="21">
        <v>5037000000</v>
      </c>
    </row>
    <row r="1221" spans="1:13">
      <c r="A1221" s="4">
        <v>45050</v>
      </c>
      <c r="B1221" s="32"/>
      <c r="C1221" s="32"/>
      <c r="D1221" s="33">
        <v>1083169442</v>
      </c>
      <c r="E1221" s="33">
        <v>470737.5</v>
      </c>
      <c r="F1221" s="32">
        <v>1083640179.5</v>
      </c>
      <c r="G1221" s="33">
        <v>75769728</v>
      </c>
      <c r="H1221" s="32">
        <v>100000000</v>
      </c>
      <c r="I1221" s="32">
        <v>175769728</v>
      </c>
      <c r="J1221" s="32">
        <v>1259409907.5</v>
      </c>
      <c r="M1221" s="21">
        <v>7652000000</v>
      </c>
    </row>
    <row r="1222" spans="1:13">
      <c r="A1222" s="4">
        <v>45051</v>
      </c>
      <c r="B1222" s="32"/>
      <c r="C1222" s="32"/>
      <c r="D1222" s="33"/>
      <c r="E1222" s="33"/>
      <c r="F1222" s="32" t="s">
        <v>78</v>
      </c>
      <c r="G1222" s="33">
        <v>20203814</v>
      </c>
      <c r="H1222" s="32"/>
      <c r="I1222" s="32">
        <v>20203814</v>
      </c>
      <c r="J1222" s="32">
        <v>20203814</v>
      </c>
      <c r="M1222" s="21">
        <v>7652000000</v>
      </c>
    </row>
    <row r="1223" spans="1:13">
      <c r="A1223" s="4">
        <v>45052</v>
      </c>
      <c r="B1223" s="32"/>
      <c r="C1223" s="32"/>
      <c r="D1223" s="33"/>
      <c r="E1223" s="33"/>
      <c r="F1223" s="32" t="s">
        <v>78</v>
      </c>
      <c r="G1223" s="33">
        <v>1120200</v>
      </c>
      <c r="H1223" s="32"/>
      <c r="I1223" s="32">
        <v>1120200</v>
      </c>
      <c r="J1223" s="32">
        <v>1120200</v>
      </c>
      <c r="M1223" s="21">
        <v>7652000000</v>
      </c>
    </row>
    <row r="1224" spans="1:13">
      <c r="A1224" s="4">
        <v>45053</v>
      </c>
      <c r="B1224" s="32"/>
      <c r="C1224" s="32"/>
      <c r="D1224" s="33"/>
      <c r="E1224" s="33"/>
      <c r="F1224" s="32" t="s">
        <v>78</v>
      </c>
      <c r="G1224" s="33">
        <v>14978350</v>
      </c>
      <c r="H1224" s="32"/>
      <c r="I1224" s="32">
        <v>14978350</v>
      </c>
      <c r="J1224" s="32">
        <v>14978350</v>
      </c>
      <c r="M1224" s="21">
        <v>7652000000</v>
      </c>
    </row>
    <row r="1225" spans="1:13">
      <c r="A1225" s="4">
        <v>45054</v>
      </c>
      <c r="B1225" s="32"/>
      <c r="C1225" s="32"/>
      <c r="D1225" s="33">
        <v>2512550652</v>
      </c>
      <c r="E1225" s="33"/>
      <c r="F1225" s="32">
        <v>2512550652</v>
      </c>
      <c r="G1225" s="33">
        <v>155700102</v>
      </c>
      <c r="H1225" s="32">
        <v>9948651320</v>
      </c>
      <c r="I1225" s="32">
        <v>10104351422</v>
      </c>
      <c r="J1225" s="32">
        <v>12616902074</v>
      </c>
      <c r="M1225" s="21">
        <v>10165000000</v>
      </c>
    </row>
    <row r="1226" spans="1:13">
      <c r="A1226" s="4">
        <v>45055</v>
      </c>
      <c r="B1226" s="32"/>
      <c r="C1226" s="32"/>
      <c r="D1226" s="33">
        <v>4830400861</v>
      </c>
      <c r="E1226" s="33"/>
      <c r="F1226" s="32">
        <v>4830400861</v>
      </c>
      <c r="G1226" s="33">
        <v>172738387</v>
      </c>
      <c r="H1226" s="32"/>
      <c r="I1226" s="32">
        <v>172738387</v>
      </c>
      <c r="J1226" s="32">
        <v>5003139248</v>
      </c>
      <c r="M1226" s="21">
        <v>12688000000</v>
      </c>
    </row>
    <row r="1227" spans="1:13">
      <c r="A1227" s="4">
        <v>45056</v>
      </c>
      <c r="B1227" s="32"/>
      <c r="C1227" s="32">
        <v>494798935.99000001</v>
      </c>
      <c r="D1227" s="33">
        <v>2074221317.01</v>
      </c>
      <c r="E1227" s="33"/>
      <c r="F1227" s="32">
        <v>2074221317.01</v>
      </c>
      <c r="G1227" s="33">
        <v>204580449</v>
      </c>
      <c r="H1227" s="32"/>
      <c r="I1227" s="32">
        <v>204580449</v>
      </c>
      <c r="J1227" s="32">
        <v>2278801766.0100002</v>
      </c>
      <c r="M1227" s="21">
        <v>15220000000</v>
      </c>
    </row>
    <row r="1228" spans="1:13">
      <c r="A1228" s="4">
        <v>45057</v>
      </c>
      <c r="B1228" s="32"/>
      <c r="C1228" s="32"/>
      <c r="D1228" s="33">
        <v>1799180410</v>
      </c>
      <c r="E1228" s="33"/>
      <c r="F1228" s="32">
        <v>1799180410</v>
      </c>
      <c r="G1228" s="33">
        <v>104983106</v>
      </c>
      <c r="H1228" s="32">
        <v>100000000</v>
      </c>
      <c r="I1228" s="32">
        <v>204983106</v>
      </c>
      <c r="J1228" s="32">
        <v>2004163516</v>
      </c>
      <c r="M1228" s="21">
        <v>27603000000</v>
      </c>
    </row>
    <row r="1229" spans="1:13">
      <c r="A1229" s="4">
        <v>45058</v>
      </c>
      <c r="B1229" s="32"/>
      <c r="C1229" s="32"/>
      <c r="D1229" s="33">
        <v>1877930547.4000001</v>
      </c>
      <c r="E1229" s="33"/>
      <c r="F1229" s="32">
        <v>1877930547.4000001</v>
      </c>
      <c r="G1229" s="33">
        <v>155533653</v>
      </c>
      <c r="H1229" s="32"/>
      <c r="I1229" s="32">
        <v>155533653</v>
      </c>
      <c r="J1229" s="32">
        <v>2033464200.4000001</v>
      </c>
      <c r="M1229" s="21">
        <v>30116000000</v>
      </c>
    </row>
    <row r="1230" spans="1:13">
      <c r="A1230" s="4">
        <v>45059</v>
      </c>
      <c r="B1230" s="32"/>
      <c r="C1230" s="32"/>
      <c r="D1230" s="33"/>
      <c r="E1230" s="33"/>
      <c r="F1230" s="32" t="s">
        <v>78</v>
      </c>
      <c r="G1230" s="33">
        <v>4948691</v>
      </c>
      <c r="H1230" s="32"/>
      <c r="I1230" s="32">
        <v>4948691</v>
      </c>
      <c r="J1230" s="32">
        <v>4948691</v>
      </c>
      <c r="M1230" s="21">
        <v>30116000000</v>
      </c>
    </row>
    <row r="1231" spans="1:13">
      <c r="A1231" s="4">
        <v>45060</v>
      </c>
      <c r="B1231" s="32"/>
      <c r="C1231" s="32"/>
      <c r="D1231" s="33"/>
      <c r="E1231" s="33"/>
      <c r="F1231" s="32" t="s">
        <v>78</v>
      </c>
      <c r="G1231" s="33"/>
      <c r="H1231" s="32"/>
      <c r="I1231" s="32" t="s">
        <v>75</v>
      </c>
      <c r="J1231" s="32" t="s">
        <v>76</v>
      </c>
      <c r="M1231" s="21">
        <v>30116000000</v>
      </c>
    </row>
    <row r="1232" spans="1:13">
      <c r="A1232" s="4">
        <v>45061</v>
      </c>
      <c r="B1232" s="32"/>
      <c r="C1232" s="32"/>
      <c r="D1232" s="33">
        <v>2715316983</v>
      </c>
      <c r="E1232" s="33"/>
      <c r="F1232" s="32">
        <v>2715316983</v>
      </c>
      <c r="G1232" s="33">
        <v>127951541</v>
      </c>
      <c r="H1232" s="32"/>
      <c r="I1232" s="32">
        <v>127951541</v>
      </c>
      <c r="J1232" s="32">
        <v>2843268524</v>
      </c>
      <c r="M1232" s="21">
        <v>32629000000</v>
      </c>
    </row>
    <row r="1233" spans="1:13">
      <c r="A1233" s="4">
        <v>45062</v>
      </c>
      <c r="B1233" s="32"/>
      <c r="C1233" s="32"/>
      <c r="D1233" s="33">
        <v>2434017554</v>
      </c>
      <c r="E1233" s="33"/>
      <c r="F1233" s="32">
        <v>2434017554</v>
      </c>
      <c r="G1233" s="33">
        <v>201747245</v>
      </c>
      <c r="H1233" s="32"/>
      <c r="I1233" s="32">
        <v>201747245</v>
      </c>
      <c r="J1233" s="32">
        <v>2635764799</v>
      </c>
      <c r="M1233" s="21">
        <v>35152000000</v>
      </c>
    </row>
    <row r="1234" spans="1:13">
      <c r="A1234" s="4">
        <v>45063</v>
      </c>
      <c r="B1234" s="32"/>
      <c r="C1234" s="32"/>
      <c r="D1234" s="33">
        <v>1890393289</v>
      </c>
      <c r="E1234" s="33"/>
      <c r="F1234" s="32">
        <v>1890393289</v>
      </c>
      <c r="G1234" s="33">
        <v>71489866</v>
      </c>
      <c r="H1234" s="32"/>
      <c r="I1234" s="32">
        <v>71489866</v>
      </c>
      <c r="J1234" s="32">
        <v>1961883155</v>
      </c>
      <c r="M1234" s="21">
        <v>37686000000</v>
      </c>
    </row>
    <row r="1235" spans="1:13">
      <c r="A1235" s="4">
        <v>45064</v>
      </c>
      <c r="B1235" s="32"/>
      <c r="C1235" s="32"/>
      <c r="D1235" s="33">
        <v>4206795982</v>
      </c>
      <c r="E1235" s="33"/>
      <c r="F1235" s="32">
        <v>4206795982</v>
      </c>
      <c r="G1235" s="33">
        <v>112549202</v>
      </c>
      <c r="H1235" s="32" t="s">
        <v>78</v>
      </c>
      <c r="I1235" s="32">
        <v>112549202</v>
      </c>
      <c r="J1235" s="32">
        <v>4319345184</v>
      </c>
      <c r="M1235" s="21">
        <v>40209000000</v>
      </c>
    </row>
    <row r="1236" spans="1:13">
      <c r="A1236" s="4">
        <v>45065</v>
      </c>
      <c r="B1236" s="32"/>
      <c r="C1236" s="32"/>
      <c r="D1236" s="33">
        <v>1368037260.52</v>
      </c>
      <c r="E1236" s="33">
        <v>3197000</v>
      </c>
      <c r="F1236" s="32">
        <v>1371234260.52</v>
      </c>
      <c r="G1236" s="33">
        <v>80609029</v>
      </c>
      <c r="H1236" s="32">
        <v>100000000</v>
      </c>
      <c r="I1236" s="32">
        <v>180609029</v>
      </c>
      <c r="J1236" s="32">
        <v>1551843289.52</v>
      </c>
      <c r="M1236" s="21">
        <v>42822000000</v>
      </c>
    </row>
    <row r="1237" spans="1:13">
      <c r="A1237" s="4">
        <v>45066</v>
      </c>
      <c r="B1237" s="32"/>
      <c r="C1237" s="32"/>
      <c r="D1237" s="33"/>
      <c r="E1237" s="33"/>
      <c r="F1237" s="32" t="s">
        <v>78</v>
      </c>
      <c r="G1237" s="33">
        <v>52649322</v>
      </c>
      <c r="H1237" s="32"/>
      <c r="I1237" s="32">
        <v>52649322</v>
      </c>
      <c r="J1237" s="32">
        <v>52649322</v>
      </c>
      <c r="M1237" s="21">
        <v>42822000000</v>
      </c>
    </row>
    <row r="1238" spans="1:13">
      <c r="A1238" s="4">
        <v>45067</v>
      </c>
      <c r="B1238" s="32"/>
      <c r="C1238" s="32"/>
      <c r="D1238" s="33" t="s">
        <v>73</v>
      </c>
      <c r="E1238" s="33" t="s">
        <v>78</v>
      </c>
      <c r="F1238" s="32" t="s">
        <v>78</v>
      </c>
      <c r="G1238" s="33">
        <v>345134</v>
      </c>
      <c r="H1238" s="32" t="s">
        <v>78</v>
      </c>
      <c r="I1238" s="32">
        <v>345134</v>
      </c>
      <c r="J1238" s="32">
        <v>345134</v>
      </c>
      <c r="M1238" s="21">
        <v>42822000000</v>
      </c>
    </row>
    <row r="1239" spans="1:13">
      <c r="A1239" s="4">
        <v>45068</v>
      </c>
      <c r="B1239" s="32"/>
      <c r="C1239" s="32"/>
      <c r="D1239" s="33">
        <v>1677815224</v>
      </c>
      <c r="E1239" s="33" t="s">
        <v>78</v>
      </c>
      <c r="F1239" s="32">
        <v>1677815224</v>
      </c>
      <c r="G1239" s="33">
        <v>128438176</v>
      </c>
      <c r="H1239" s="32" t="s">
        <v>78</v>
      </c>
      <c r="I1239" s="32">
        <v>128438176</v>
      </c>
      <c r="J1239" s="32">
        <v>1806253400</v>
      </c>
      <c r="M1239" s="21">
        <v>45334000000</v>
      </c>
    </row>
    <row r="1240" spans="1:13">
      <c r="A1240" s="4">
        <v>45069</v>
      </c>
      <c r="B1240" s="32"/>
      <c r="C1240" s="32"/>
      <c r="D1240" s="33">
        <v>2099949662</v>
      </c>
      <c r="E1240" s="33"/>
      <c r="F1240" s="32">
        <v>2099949662</v>
      </c>
      <c r="G1240" s="33">
        <v>92083338</v>
      </c>
      <c r="H1240" s="32"/>
      <c r="I1240" s="32">
        <v>92083338</v>
      </c>
      <c r="J1240" s="32">
        <v>2192033000</v>
      </c>
      <c r="M1240" s="21">
        <v>47856000000</v>
      </c>
    </row>
    <row r="1241" spans="1:13">
      <c r="A1241" s="4">
        <v>45070</v>
      </c>
      <c r="B1241" s="32"/>
      <c r="C1241" s="32"/>
      <c r="D1241" s="33">
        <v>2213554764</v>
      </c>
      <c r="E1241" s="33"/>
      <c r="F1241" s="32">
        <v>2213554764</v>
      </c>
      <c r="G1241" s="33">
        <v>79133521</v>
      </c>
      <c r="H1241" s="32"/>
      <c r="I1241" s="32">
        <v>79133521</v>
      </c>
      <c r="J1241" s="32">
        <v>2292688285</v>
      </c>
      <c r="M1241" s="21">
        <v>50389000000</v>
      </c>
    </row>
    <row r="1242" spans="1:13">
      <c r="A1242" s="4">
        <v>45071</v>
      </c>
      <c r="B1242" s="32"/>
      <c r="C1242" s="32"/>
      <c r="D1242" s="33">
        <v>1826945121</v>
      </c>
      <c r="E1242" s="33"/>
      <c r="F1242" s="32">
        <v>1826945121</v>
      </c>
      <c r="G1242" s="33">
        <v>37796114</v>
      </c>
      <c r="H1242" s="32"/>
      <c r="I1242" s="32">
        <v>37796114</v>
      </c>
      <c r="J1242" s="32">
        <v>1864741235</v>
      </c>
      <c r="M1242" s="21">
        <v>52911000000</v>
      </c>
    </row>
    <row r="1243" spans="1:13">
      <c r="A1243" s="4">
        <v>45072</v>
      </c>
      <c r="B1243" s="32"/>
      <c r="C1243" s="32"/>
      <c r="D1243" s="33">
        <v>1871082175</v>
      </c>
      <c r="E1243" s="33" t="s">
        <v>78</v>
      </c>
      <c r="F1243" s="32">
        <v>1871082175</v>
      </c>
      <c r="G1243" s="33">
        <v>95410451</v>
      </c>
      <c r="H1243" s="32">
        <v>100000000</v>
      </c>
      <c r="I1243" s="32">
        <v>195410451</v>
      </c>
      <c r="J1243" s="32">
        <v>2066492626</v>
      </c>
      <c r="M1243" s="21">
        <v>55523000000</v>
      </c>
    </row>
    <row r="1244" spans="1:13">
      <c r="A1244" s="4">
        <v>45073</v>
      </c>
      <c r="B1244" s="32"/>
      <c r="C1244" s="32"/>
      <c r="D1244" s="33" t="s">
        <v>73</v>
      </c>
      <c r="E1244" s="33" t="s">
        <v>78</v>
      </c>
      <c r="F1244" s="32" t="s">
        <v>78</v>
      </c>
      <c r="G1244" s="33">
        <v>17554700</v>
      </c>
      <c r="H1244" s="32" t="s">
        <v>78</v>
      </c>
      <c r="I1244" s="32">
        <v>17554700</v>
      </c>
      <c r="J1244" s="32">
        <v>17554700</v>
      </c>
      <c r="M1244" s="21">
        <v>55523000000</v>
      </c>
    </row>
    <row r="1245" spans="1:13">
      <c r="A1245" s="4">
        <v>45074</v>
      </c>
      <c r="B1245" s="32"/>
      <c r="C1245" s="32"/>
      <c r="D1245" s="33" t="s">
        <v>73</v>
      </c>
      <c r="E1245" s="33" t="s">
        <v>78</v>
      </c>
      <c r="F1245" s="32" t="s">
        <v>78</v>
      </c>
      <c r="G1245" s="33" t="s">
        <v>79</v>
      </c>
      <c r="H1245" s="32" t="s">
        <v>78</v>
      </c>
      <c r="I1245" s="32" t="s">
        <v>75</v>
      </c>
      <c r="J1245" s="32" t="s">
        <v>76</v>
      </c>
      <c r="M1245" s="21">
        <v>55523000000</v>
      </c>
    </row>
    <row r="1246" spans="1:13">
      <c r="A1246" s="4">
        <v>45075</v>
      </c>
      <c r="B1246" s="32"/>
      <c r="C1246" s="32"/>
      <c r="D1246" s="33">
        <v>1744574817</v>
      </c>
      <c r="E1246" s="33" t="s">
        <v>78</v>
      </c>
      <c r="F1246" s="32">
        <v>1744574817</v>
      </c>
      <c r="G1246" s="33">
        <v>114629512</v>
      </c>
      <c r="H1246" s="32" t="s">
        <v>78</v>
      </c>
      <c r="I1246" s="32">
        <v>114629512</v>
      </c>
      <c r="J1246" s="32">
        <v>1859204329</v>
      </c>
      <c r="M1246" s="21">
        <v>58030000000</v>
      </c>
    </row>
    <row r="1247" spans="1:13">
      <c r="A1247" s="4">
        <v>45076</v>
      </c>
      <c r="B1247" s="32"/>
      <c r="C1247" s="32"/>
      <c r="D1247" s="33">
        <v>2717852355</v>
      </c>
      <c r="E1247" s="33"/>
      <c r="F1247" s="32">
        <v>2717852355</v>
      </c>
      <c r="G1247" s="33">
        <v>89297493</v>
      </c>
      <c r="H1247" s="32"/>
      <c r="I1247" s="32">
        <v>89297493</v>
      </c>
      <c r="J1247" s="32">
        <v>2807149848</v>
      </c>
      <c r="M1247" s="21">
        <v>58043000000</v>
      </c>
    </row>
    <row r="1248" spans="1:13">
      <c r="A1248" s="4">
        <v>45077</v>
      </c>
      <c r="B1248" s="32"/>
      <c r="C1248" s="32"/>
      <c r="D1248" s="33">
        <v>3472857977.96</v>
      </c>
      <c r="E1248" s="33" t="s">
        <v>78</v>
      </c>
      <c r="F1248" s="32">
        <v>3472857977.96</v>
      </c>
      <c r="G1248" s="33">
        <v>61961870</v>
      </c>
      <c r="H1248" s="32" t="s">
        <v>78</v>
      </c>
      <c r="I1248" s="32">
        <v>61961870</v>
      </c>
      <c r="J1248" s="32">
        <v>3534819847.96</v>
      </c>
      <c r="M1248" s="21">
        <v>60560000000</v>
      </c>
    </row>
    <row r="1249" spans="1:13">
      <c r="A1249" s="4">
        <v>45078</v>
      </c>
      <c r="B1249" s="32"/>
      <c r="C1249" s="32"/>
      <c r="D1249" s="32">
        <v>4611814729.1999998</v>
      </c>
      <c r="E1249" s="32"/>
      <c r="F1249" s="32">
        <v>4611814729.1999998</v>
      </c>
      <c r="G1249" s="33">
        <v>37023519</v>
      </c>
      <c r="H1249" s="32"/>
      <c r="I1249" s="32">
        <v>37023519</v>
      </c>
      <c r="J1249" s="32">
        <v>4648838248.1999998</v>
      </c>
      <c r="M1249" s="21">
        <v>2427000000</v>
      </c>
    </row>
    <row r="1250" spans="1:13">
      <c r="A1250" s="4">
        <v>45079</v>
      </c>
      <c r="B1250" s="32"/>
      <c r="C1250" s="32"/>
      <c r="D1250" s="32">
        <v>1632022782</v>
      </c>
      <c r="E1250" s="32"/>
      <c r="F1250" s="32">
        <v>1632022782</v>
      </c>
      <c r="G1250" s="33">
        <v>55684405</v>
      </c>
      <c r="H1250" s="32">
        <v>100000000</v>
      </c>
      <c r="I1250" s="32">
        <v>155684405</v>
      </c>
      <c r="J1250" s="32">
        <v>1787707187</v>
      </c>
      <c r="M1250" s="21">
        <v>4966000000</v>
      </c>
    </row>
    <row r="1251" spans="1:13">
      <c r="A1251" s="4">
        <v>45080</v>
      </c>
      <c r="B1251" s="32"/>
      <c r="C1251" s="32"/>
      <c r="D1251" s="32"/>
      <c r="E1251" s="32"/>
      <c r="F1251" s="32" t="s">
        <v>75</v>
      </c>
      <c r="G1251" s="33">
        <v>9657950</v>
      </c>
      <c r="H1251" s="32"/>
      <c r="I1251" s="32">
        <v>9657950</v>
      </c>
      <c r="J1251" s="32">
        <v>9657950</v>
      </c>
      <c r="M1251" s="21">
        <v>4966000000</v>
      </c>
    </row>
    <row r="1252" spans="1:13">
      <c r="A1252" s="4">
        <v>45081</v>
      </c>
      <c r="B1252" s="32"/>
      <c r="C1252" s="32"/>
      <c r="D1252" s="32"/>
      <c r="E1252" s="32"/>
      <c r="F1252" s="32" t="s">
        <v>75</v>
      </c>
      <c r="G1252" s="33"/>
      <c r="H1252" s="32"/>
      <c r="I1252" s="32" t="s">
        <v>75</v>
      </c>
      <c r="J1252" s="32" t="s">
        <v>76</v>
      </c>
      <c r="M1252" s="21">
        <v>4966000000</v>
      </c>
    </row>
    <row r="1253" spans="1:13">
      <c r="A1253" s="4">
        <v>45082</v>
      </c>
      <c r="B1253" s="32"/>
      <c r="C1253" s="32"/>
      <c r="D1253" s="32">
        <v>5786273863.4399996</v>
      </c>
      <c r="E1253" s="32">
        <v>256000</v>
      </c>
      <c r="F1253" s="32">
        <v>5786529863.4399996</v>
      </c>
      <c r="G1253" s="33">
        <v>176941917</v>
      </c>
      <c r="H1253" s="32"/>
      <c r="I1253" s="32">
        <v>176941917</v>
      </c>
      <c r="J1253" s="32">
        <v>5963471780.4399996</v>
      </c>
      <c r="M1253" s="21">
        <v>7395000000</v>
      </c>
    </row>
    <row r="1254" spans="1:13">
      <c r="A1254" s="4">
        <v>45083</v>
      </c>
      <c r="B1254" s="32"/>
      <c r="C1254" s="32"/>
      <c r="D1254" s="32">
        <v>2467896197.0700002</v>
      </c>
      <c r="E1254" s="32"/>
      <c r="F1254" s="32">
        <v>2467896197.0700002</v>
      </c>
      <c r="G1254" s="33">
        <v>137854463</v>
      </c>
      <c r="H1254" s="32"/>
      <c r="I1254" s="32">
        <v>137854463</v>
      </c>
      <c r="J1254" s="32">
        <v>2605750660.0700002</v>
      </c>
      <c r="M1254" s="21">
        <v>9836000000</v>
      </c>
    </row>
    <row r="1255" spans="1:13">
      <c r="A1255" s="4">
        <v>45084</v>
      </c>
      <c r="B1255" s="32"/>
      <c r="C1255" s="32"/>
      <c r="D1255" s="32">
        <v>1953836655</v>
      </c>
      <c r="E1255" s="32"/>
      <c r="F1255" s="32">
        <v>1953836655</v>
      </c>
      <c r="G1255" s="33">
        <v>149886838</v>
      </c>
      <c r="H1255" s="32"/>
      <c r="I1255" s="32">
        <v>149886838</v>
      </c>
      <c r="J1255" s="32">
        <v>2103723493</v>
      </c>
      <c r="M1255" s="21">
        <v>12292000000</v>
      </c>
    </row>
    <row r="1256" spans="1:13">
      <c r="A1256" s="4">
        <v>45085</v>
      </c>
      <c r="B1256" s="32"/>
      <c r="C1256" s="32"/>
      <c r="D1256" s="32">
        <v>1578112076</v>
      </c>
      <c r="E1256" s="32">
        <v>1506500</v>
      </c>
      <c r="F1256" s="32">
        <v>1579618576</v>
      </c>
      <c r="G1256" s="33">
        <v>112058598</v>
      </c>
      <c r="H1256" s="32"/>
      <c r="I1256" s="32">
        <v>112058598</v>
      </c>
      <c r="J1256" s="32">
        <v>1691677174</v>
      </c>
      <c r="M1256" s="21">
        <v>14733000000</v>
      </c>
    </row>
    <row r="1257" spans="1:13">
      <c r="A1257" s="4">
        <v>45086</v>
      </c>
      <c r="B1257" s="32"/>
      <c r="C1257" s="32"/>
      <c r="D1257" s="32">
        <v>1048966846</v>
      </c>
      <c r="E1257" s="32">
        <v>21120</v>
      </c>
      <c r="F1257" s="32">
        <v>1048987966</v>
      </c>
      <c r="G1257" s="33">
        <v>64433654</v>
      </c>
      <c r="H1257" s="32">
        <v>9119865200</v>
      </c>
      <c r="I1257" s="32">
        <v>9184298854</v>
      </c>
      <c r="J1257" s="32">
        <v>10233286820</v>
      </c>
      <c r="M1257" s="21">
        <v>26284000000</v>
      </c>
    </row>
    <row r="1258" spans="1:13">
      <c r="A1258" s="4">
        <v>45087</v>
      </c>
      <c r="B1258" s="32"/>
      <c r="C1258" s="32"/>
      <c r="D1258" s="32" t="s">
        <v>46</v>
      </c>
      <c r="E1258" s="32"/>
      <c r="F1258" s="32" t="s">
        <v>75</v>
      </c>
      <c r="G1258" s="33">
        <v>787204</v>
      </c>
      <c r="H1258" s="32"/>
      <c r="I1258" s="32">
        <v>787204</v>
      </c>
      <c r="J1258" s="32">
        <v>787204</v>
      </c>
      <c r="M1258" s="21">
        <v>26284000000</v>
      </c>
    </row>
    <row r="1259" spans="1:13">
      <c r="A1259" s="4">
        <v>45088</v>
      </c>
      <c r="B1259" s="32"/>
      <c r="C1259" s="32"/>
      <c r="D1259" s="32"/>
      <c r="E1259" s="32"/>
      <c r="F1259" s="32" t="s">
        <v>75</v>
      </c>
      <c r="G1259" s="33" t="s">
        <v>75</v>
      </c>
      <c r="H1259" s="32"/>
      <c r="I1259" s="32" t="s">
        <v>75</v>
      </c>
      <c r="J1259" s="32" t="s">
        <v>76</v>
      </c>
      <c r="M1259" s="21">
        <v>26284000000</v>
      </c>
    </row>
    <row r="1260" spans="1:13">
      <c r="A1260" s="4">
        <v>45089</v>
      </c>
      <c r="B1260" s="32"/>
      <c r="C1260" s="32">
        <v>445956770.60000002</v>
      </c>
      <c r="D1260" s="32">
        <v>1911847133.4000001</v>
      </c>
      <c r="E1260" s="32"/>
      <c r="F1260" s="32">
        <v>1911847133.4000001</v>
      </c>
      <c r="G1260" s="33">
        <v>125034241</v>
      </c>
      <c r="H1260" s="32"/>
      <c r="I1260" s="32">
        <v>125034241</v>
      </c>
      <c r="J1260" s="32">
        <v>2036881374.4000001</v>
      </c>
      <c r="M1260" s="21">
        <v>28713000000</v>
      </c>
    </row>
    <row r="1261" spans="1:13">
      <c r="A1261" s="4">
        <v>45090</v>
      </c>
      <c r="B1261" s="32"/>
      <c r="C1261" s="32"/>
      <c r="D1261" s="32">
        <v>2293546257.5700002</v>
      </c>
      <c r="E1261" s="32"/>
      <c r="F1261" s="32">
        <v>2293546257.5700002</v>
      </c>
      <c r="G1261" s="33">
        <v>138721826</v>
      </c>
      <c r="H1261" s="32"/>
      <c r="I1261" s="32">
        <v>138721826</v>
      </c>
      <c r="J1261" s="32">
        <v>2432268083.5700002</v>
      </c>
      <c r="M1261" s="21">
        <v>31153000000</v>
      </c>
    </row>
    <row r="1262" spans="1:13">
      <c r="A1262" s="4">
        <v>45091</v>
      </c>
      <c r="B1262" s="32"/>
      <c r="C1262" s="32"/>
      <c r="D1262" s="32">
        <v>5637411201.5600004</v>
      </c>
      <c r="E1262" s="32"/>
      <c r="F1262" s="32">
        <v>5637411201.5600004</v>
      </c>
      <c r="G1262" s="33">
        <v>147053173</v>
      </c>
      <c r="H1262" s="32"/>
      <c r="I1262" s="32">
        <v>147053173</v>
      </c>
      <c r="J1262" s="32">
        <v>5784464374.5600004</v>
      </c>
      <c r="M1262" s="21">
        <v>33607000000</v>
      </c>
    </row>
    <row r="1263" spans="1:13">
      <c r="A1263" s="4">
        <v>45092</v>
      </c>
      <c r="B1263" s="32"/>
      <c r="C1263" s="32"/>
      <c r="D1263" s="32">
        <v>1430030283</v>
      </c>
      <c r="E1263" s="32">
        <v>1100</v>
      </c>
      <c r="F1263" s="32">
        <v>1430031383</v>
      </c>
      <c r="G1263" s="33">
        <v>69805566</v>
      </c>
      <c r="H1263" s="32"/>
      <c r="I1263" s="32">
        <v>69805566</v>
      </c>
      <c r="J1263" s="32">
        <v>1499836949</v>
      </c>
      <c r="M1263" s="21">
        <v>36047000000</v>
      </c>
    </row>
    <row r="1264" spans="1:13">
      <c r="A1264" s="4">
        <v>45093</v>
      </c>
      <c r="B1264" s="32"/>
      <c r="C1264" s="32"/>
      <c r="D1264" s="32">
        <v>2803986590</v>
      </c>
      <c r="E1264" s="32"/>
      <c r="F1264" s="32">
        <v>2803986590</v>
      </c>
      <c r="G1264" s="33">
        <v>39033620</v>
      </c>
      <c r="H1264" s="32">
        <v>100000000</v>
      </c>
      <c r="I1264" s="32">
        <v>139033620</v>
      </c>
      <c r="J1264" s="32">
        <v>2943020210</v>
      </c>
      <c r="M1264" s="21">
        <v>38576000000</v>
      </c>
    </row>
    <row r="1265" spans="1:13">
      <c r="A1265" s="4">
        <v>45094</v>
      </c>
      <c r="B1265" s="32"/>
      <c r="C1265" s="32"/>
      <c r="D1265" s="32"/>
      <c r="E1265" s="32"/>
      <c r="F1265" s="32" t="s">
        <v>75</v>
      </c>
      <c r="G1265" s="33">
        <v>8231603</v>
      </c>
      <c r="H1265" s="32"/>
      <c r="I1265" s="32">
        <v>8231603</v>
      </c>
      <c r="J1265" s="32">
        <v>8231603</v>
      </c>
      <c r="M1265" s="21">
        <v>38576000000</v>
      </c>
    </row>
    <row r="1266" spans="1:13">
      <c r="A1266" s="4">
        <v>45095</v>
      </c>
      <c r="B1266" s="32"/>
      <c r="C1266" s="32"/>
      <c r="D1266" s="32" t="s">
        <v>46</v>
      </c>
      <c r="E1266" s="32" t="s">
        <v>80</v>
      </c>
      <c r="F1266" s="32" t="s">
        <v>75</v>
      </c>
      <c r="G1266" s="33" t="s">
        <v>75</v>
      </c>
      <c r="H1266" s="32" t="s">
        <v>75</v>
      </c>
      <c r="I1266" s="32" t="s">
        <v>75</v>
      </c>
      <c r="J1266" s="32" t="s">
        <v>76</v>
      </c>
      <c r="M1266" s="21">
        <v>38576000000</v>
      </c>
    </row>
    <row r="1267" spans="1:13">
      <c r="A1267" s="4">
        <v>45096</v>
      </c>
      <c r="B1267" s="32"/>
      <c r="C1267" s="32"/>
      <c r="D1267" s="32">
        <v>1192951158</v>
      </c>
      <c r="E1267" s="32"/>
      <c r="F1267" s="32">
        <v>1192951158</v>
      </c>
      <c r="G1267" s="33">
        <v>102493439</v>
      </c>
      <c r="H1267" s="32"/>
      <c r="I1267" s="32">
        <v>102493439</v>
      </c>
      <c r="J1267" s="32">
        <v>1295444597</v>
      </c>
      <c r="M1267" s="21">
        <v>41006000000</v>
      </c>
    </row>
    <row r="1268" spans="1:13">
      <c r="A1268" s="4">
        <v>45097</v>
      </c>
      <c r="B1268" s="32"/>
      <c r="C1268" s="32"/>
      <c r="D1268" s="32">
        <v>1458511265</v>
      </c>
      <c r="E1268" s="32"/>
      <c r="F1268" s="32">
        <v>1458511265</v>
      </c>
      <c r="G1268" s="33">
        <v>109293709</v>
      </c>
      <c r="H1268" s="32"/>
      <c r="I1268" s="32">
        <v>109293709</v>
      </c>
      <c r="J1268" s="32">
        <v>1567804974</v>
      </c>
      <c r="M1268" s="21">
        <v>43447000000</v>
      </c>
    </row>
    <row r="1269" spans="1:13">
      <c r="A1269" s="4">
        <v>45098</v>
      </c>
      <c r="B1269" s="32"/>
      <c r="C1269" s="32"/>
      <c r="D1269" s="32">
        <v>1528363572</v>
      </c>
      <c r="E1269" s="32">
        <v>2366125</v>
      </c>
      <c r="F1269" s="32">
        <v>1530729697</v>
      </c>
      <c r="G1269" s="33">
        <v>114574667</v>
      </c>
      <c r="H1269" s="32"/>
      <c r="I1269" s="32">
        <v>114574667</v>
      </c>
      <c r="J1269" s="32">
        <v>1645304364</v>
      </c>
      <c r="M1269" s="21">
        <v>45902000000</v>
      </c>
    </row>
    <row r="1270" spans="1:13">
      <c r="A1270" s="4">
        <v>45099</v>
      </c>
      <c r="B1270" s="32"/>
      <c r="C1270" s="32"/>
      <c r="D1270" s="32">
        <v>1794266612</v>
      </c>
      <c r="E1270" s="32" t="s">
        <v>80</v>
      </c>
      <c r="F1270" s="32">
        <v>1794266612</v>
      </c>
      <c r="G1270" s="33">
        <v>92627117</v>
      </c>
      <c r="H1270" s="32"/>
      <c r="I1270" s="32">
        <v>92627117</v>
      </c>
      <c r="J1270" s="32">
        <v>1886893729</v>
      </c>
      <c r="M1270" s="21">
        <v>48343000000</v>
      </c>
    </row>
    <row r="1271" spans="1:13">
      <c r="A1271" s="4">
        <v>45100</v>
      </c>
      <c r="B1271" s="32"/>
      <c r="C1271" s="32"/>
      <c r="D1271" s="32">
        <v>4103837609.1199999</v>
      </c>
      <c r="E1271" s="32" t="s">
        <v>80</v>
      </c>
      <c r="F1271" s="32">
        <v>4103837609.1199999</v>
      </c>
      <c r="G1271" s="33">
        <v>62844704</v>
      </c>
      <c r="H1271" s="32">
        <v>100000000</v>
      </c>
      <c r="I1271" s="32">
        <v>162844704</v>
      </c>
      <c r="J1271" s="32">
        <v>4266682313.1199999</v>
      </c>
      <c r="M1271" s="21">
        <v>50873000000</v>
      </c>
    </row>
    <row r="1272" spans="1:13">
      <c r="A1272" s="4">
        <v>45101</v>
      </c>
      <c r="B1272" s="32"/>
      <c r="C1272" s="32"/>
      <c r="D1272" s="32" t="s">
        <v>46</v>
      </c>
      <c r="E1272" s="32" t="s">
        <v>80</v>
      </c>
      <c r="F1272" s="32" t="s">
        <v>75</v>
      </c>
      <c r="G1272" s="33">
        <v>8009900</v>
      </c>
      <c r="H1272" s="32" t="s">
        <v>75</v>
      </c>
      <c r="I1272" s="32">
        <v>8009900</v>
      </c>
      <c r="J1272" s="32">
        <v>8009900</v>
      </c>
      <c r="M1272" s="21">
        <v>50873000000</v>
      </c>
    </row>
    <row r="1273" spans="1:13">
      <c r="A1273" s="4">
        <v>45102</v>
      </c>
      <c r="B1273" s="32"/>
      <c r="C1273" s="32"/>
      <c r="D1273" s="32" t="s">
        <v>46</v>
      </c>
      <c r="E1273" s="32" t="s">
        <v>80</v>
      </c>
      <c r="F1273" s="32" t="s">
        <v>75</v>
      </c>
      <c r="G1273" s="33">
        <v>1943800</v>
      </c>
      <c r="H1273" s="32" t="s">
        <v>75</v>
      </c>
      <c r="I1273" s="32">
        <v>1943800</v>
      </c>
      <c r="J1273" s="32">
        <v>1943800</v>
      </c>
      <c r="M1273" s="21">
        <v>50873000000</v>
      </c>
    </row>
    <row r="1274" spans="1:13">
      <c r="A1274" s="4">
        <v>45103</v>
      </c>
      <c r="B1274" s="32"/>
      <c r="C1274" s="32"/>
      <c r="D1274" s="32">
        <v>2660057577</v>
      </c>
      <c r="E1274" s="32"/>
      <c r="F1274" s="32">
        <v>2660057577</v>
      </c>
      <c r="G1274" s="33">
        <v>78421966</v>
      </c>
      <c r="H1274" s="32"/>
      <c r="I1274" s="32">
        <v>78421966</v>
      </c>
      <c r="J1274" s="32">
        <v>2738479543</v>
      </c>
      <c r="M1274" s="21">
        <v>53307000000</v>
      </c>
    </row>
    <row r="1275" spans="1:13">
      <c r="A1275" s="4">
        <v>45104</v>
      </c>
      <c r="B1275" s="32"/>
      <c r="C1275" s="32"/>
      <c r="D1275" s="32">
        <v>3366419849</v>
      </c>
      <c r="E1275" s="32"/>
      <c r="F1275" s="32">
        <v>3366419849</v>
      </c>
      <c r="G1275" s="33">
        <v>89756992</v>
      </c>
      <c r="H1275" s="32"/>
      <c r="I1275" s="32">
        <v>89756992</v>
      </c>
      <c r="J1275" s="32">
        <v>3456176841</v>
      </c>
      <c r="M1275" s="21">
        <v>55752000000</v>
      </c>
    </row>
    <row r="1276" spans="1:13">
      <c r="A1276" s="4">
        <v>45105</v>
      </c>
      <c r="B1276" s="32"/>
      <c r="C1276" s="32"/>
      <c r="D1276" s="32">
        <v>3102311679.3000002</v>
      </c>
      <c r="E1276" s="32"/>
      <c r="F1276" s="32">
        <v>3102311679.3000002</v>
      </c>
      <c r="G1276" s="33">
        <v>264713322</v>
      </c>
      <c r="H1276" s="32">
        <v>100000000</v>
      </c>
      <c r="I1276" s="32">
        <v>364713322</v>
      </c>
      <c r="J1276" s="32">
        <v>3467025001.3000002</v>
      </c>
      <c r="M1276" s="21">
        <v>58207000000</v>
      </c>
    </row>
    <row r="1277" spans="1:13">
      <c r="A1277" s="4">
        <v>45106</v>
      </c>
      <c r="B1277" s="32"/>
      <c r="C1277" s="32"/>
      <c r="D1277" s="32"/>
      <c r="E1277" s="32"/>
      <c r="F1277" s="32" t="s">
        <v>75</v>
      </c>
      <c r="G1277" s="33">
        <v>10088951</v>
      </c>
      <c r="H1277" s="32"/>
      <c r="I1277" s="32">
        <v>10088951</v>
      </c>
      <c r="J1277" s="32">
        <v>10088951</v>
      </c>
      <c r="M1277" s="21">
        <v>58207000000</v>
      </c>
    </row>
    <row r="1278" spans="1:13">
      <c r="A1278" s="4">
        <v>45107</v>
      </c>
      <c r="B1278" s="32"/>
      <c r="C1278" s="32"/>
      <c r="D1278" s="32"/>
      <c r="E1278" s="32"/>
      <c r="F1278" s="32" t="s">
        <v>75</v>
      </c>
      <c r="G1278" s="33">
        <v>31050136</v>
      </c>
      <c r="H1278" s="32"/>
      <c r="I1278" s="32">
        <v>31050136</v>
      </c>
      <c r="J1278" s="32">
        <v>31050136</v>
      </c>
      <c r="M1278" s="21">
        <v>60733000000</v>
      </c>
    </row>
    <row r="1279" spans="1:13">
      <c r="A1279" s="4">
        <v>45108</v>
      </c>
      <c r="B1279" s="32"/>
      <c r="C1279" s="32"/>
      <c r="D1279" s="32"/>
      <c r="E1279" s="32" t="s">
        <v>74</v>
      </c>
      <c r="F1279" s="32" t="s">
        <v>75</v>
      </c>
      <c r="G1279" s="33">
        <v>3415750</v>
      </c>
      <c r="H1279" s="32" t="s">
        <v>75</v>
      </c>
      <c r="I1279" s="32">
        <v>3415750</v>
      </c>
      <c r="J1279" s="32">
        <v>3415750</v>
      </c>
      <c r="M1279" s="21" t="s">
        <v>76</v>
      </c>
    </row>
    <row r="1280" spans="1:13">
      <c r="A1280" s="4">
        <v>45109</v>
      </c>
      <c r="B1280" s="32"/>
      <c r="C1280" s="32"/>
      <c r="D1280" s="32"/>
      <c r="E1280" s="32" t="s">
        <v>74</v>
      </c>
      <c r="F1280" s="32" t="s">
        <v>75</v>
      </c>
      <c r="G1280" s="33">
        <v>229550</v>
      </c>
      <c r="H1280" s="32" t="s">
        <v>75</v>
      </c>
      <c r="I1280" s="32">
        <v>229550</v>
      </c>
      <c r="J1280" s="32">
        <v>229550</v>
      </c>
      <c r="M1280" s="21" t="s">
        <v>76</v>
      </c>
    </row>
    <row r="1281" spans="1:13">
      <c r="A1281" s="4">
        <v>45110</v>
      </c>
      <c r="B1281" s="32"/>
      <c r="C1281" s="32"/>
      <c r="D1281" s="32"/>
      <c r="E1281" s="32" t="s">
        <v>74</v>
      </c>
      <c r="F1281" s="32" t="s">
        <v>75</v>
      </c>
      <c r="G1281" s="33">
        <v>6820950</v>
      </c>
      <c r="H1281" s="32" t="s">
        <v>75</v>
      </c>
      <c r="I1281" s="32">
        <v>6820950</v>
      </c>
      <c r="J1281" s="32">
        <v>6820950</v>
      </c>
      <c r="M1281" s="21" t="s">
        <v>76</v>
      </c>
    </row>
    <row r="1282" spans="1:13">
      <c r="A1282" s="4">
        <v>45111</v>
      </c>
      <c r="B1282" s="32"/>
      <c r="C1282" s="32"/>
      <c r="D1282" s="32">
        <v>3928717498.96</v>
      </c>
      <c r="E1282" s="32" t="s">
        <v>74</v>
      </c>
      <c r="F1282" s="32">
        <v>3928717498.96</v>
      </c>
      <c r="G1282" s="33">
        <v>98743604</v>
      </c>
      <c r="H1282" s="32" t="s">
        <v>75</v>
      </c>
      <c r="I1282" s="32">
        <v>98743604</v>
      </c>
      <c r="J1282" s="32">
        <v>4027461102.96</v>
      </c>
      <c r="M1282" s="21">
        <v>2786000000</v>
      </c>
    </row>
    <row r="1283" spans="1:13">
      <c r="A1283" s="4">
        <v>45112</v>
      </c>
      <c r="B1283" s="32"/>
      <c r="C1283" s="32"/>
      <c r="D1283" s="32">
        <v>3571113879.3499999</v>
      </c>
      <c r="E1283" s="32" t="s">
        <v>74</v>
      </c>
      <c r="F1283" s="32">
        <v>3571113879.3499999</v>
      </c>
      <c r="G1283" s="33">
        <v>162991329</v>
      </c>
      <c r="H1283" s="32" t="s">
        <v>75</v>
      </c>
      <c r="I1283" s="32">
        <v>162991329</v>
      </c>
      <c r="J1283" s="32">
        <v>3734105208.3499999</v>
      </c>
      <c r="M1283" s="21">
        <v>5586000000</v>
      </c>
    </row>
    <row r="1284" spans="1:13">
      <c r="A1284" s="4">
        <v>45113</v>
      </c>
      <c r="B1284" s="32"/>
      <c r="C1284" s="32"/>
      <c r="D1284" s="32">
        <v>4917577995</v>
      </c>
      <c r="E1284" s="32">
        <v>1095375</v>
      </c>
      <c r="F1284" s="32">
        <v>4918673370</v>
      </c>
      <c r="G1284" s="33">
        <v>116553795</v>
      </c>
      <c r="H1284" s="32">
        <v>3400000000</v>
      </c>
      <c r="I1284" s="32">
        <v>3516553795</v>
      </c>
      <c r="J1284" s="32">
        <v>8435227165</v>
      </c>
      <c r="M1284" s="21">
        <v>8372000000</v>
      </c>
    </row>
    <row r="1285" spans="1:13">
      <c r="A1285" s="4">
        <v>45114</v>
      </c>
      <c r="B1285" s="32"/>
      <c r="C1285" s="32"/>
      <c r="D1285" s="32">
        <v>2154450977</v>
      </c>
      <c r="E1285" s="32" t="s">
        <v>74</v>
      </c>
      <c r="F1285" s="32">
        <v>2154450977</v>
      </c>
      <c r="G1285" s="33">
        <v>94025732</v>
      </c>
      <c r="H1285" s="32">
        <v>7636250880</v>
      </c>
      <c r="I1285" s="32">
        <v>7730276612</v>
      </c>
      <c r="J1285" s="32">
        <v>9884727589</v>
      </c>
      <c r="M1285" s="21">
        <v>11244000000</v>
      </c>
    </row>
    <row r="1286" spans="1:13">
      <c r="A1286" s="4">
        <v>45115</v>
      </c>
      <c r="B1286" s="32"/>
      <c r="C1286" s="32"/>
      <c r="D1286" s="32"/>
      <c r="E1286" s="32" t="s">
        <v>74</v>
      </c>
      <c r="F1286" s="32" t="s">
        <v>75</v>
      </c>
      <c r="G1286" s="33">
        <v>691250</v>
      </c>
      <c r="H1286" s="32" t="s">
        <v>75</v>
      </c>
      <c r="I1286" s="32">
        <v>691250</v>
      </c>
      <c r="J1286" s="32">
        <v>691250</v>
      </c>
      <c r="M1286" s="21">
        <v>11244000000</v>
      </c>
    </row>
    <row r="1287" spans="1:13">
      <c r="A1287" s="4">
        <v>45116</v>
      </c>
      <c r="B1287" s="32"/>
      <c r="C1287" s="32"/>
      <c r="D1287" s="32"/>
      <c r="E1287" s="32" t="s">
        <v>74</v>
      </c>
      <c r="F1287" s="32" t="s">
        <v>75</v>
      </c>
      <c r="G1287" s="33">
        <v>12876500</v>
      </c>
      <c r="H1287" s="32" t="s">
        <v>75</v>
      </c>
      <c r="I1287" s="32">
        <v>12876500</v>
      </c>
      <c r="J1287" s="32">
        <v>12876500</v>
      </c>
      <c r="M1287" s="21">
        <v>11244000000</v>
      </c>
    </row>
    <row r="1288" spans="1:13">
      <c r="A1288" s="4">
        <v>45117</v>
      </c>
      <c r="B1288" s="32"/>
      <c r="C1288" s="32"/>
      <c r="D1288" s="32">
        <v>3900285811</v>
      </c>
      <c r="E1288" s="32">
        <v>13587</v>
      </c>
      <c r="F1288" s="32">
        <v>3900299398</v>
      </c>
      <c r="G1288" s="33">
        <v>99444204</v>
      </c>
      <c r="H1288" s="32" t="s">
        <v>75</v>
      </c>
      <c r="I1288" s="32">
        <v>99444204</v>
      </c>
      <c r="J1288" s="32">
        <v>3999743602</v>
      </c>
      <c r="M1288" s="21">
        <v>14007000000</v>
      </c>
    </row>
    <row r="1289" spans="1:13">
      <c r="A1289" s="4">
        <v>45118</v>
      </c>
      <c r="B1289" s="32"/>
      <c r="C1289" s="32"/>
      <c r="D1289" s="32">
        <v>2956266045</v>
      </c>
      <c r="E1289" s="32" t="s">
        <v>74</v>
      </c>
      <c r="F1289" s="32">
        <v>2956266045</v>
      </c>
      <c r="G1289" s="33">
        <v>343515662</v>
      </c>
      <c r="H1289" s="32" t="s">
        <v>75</v>
      </c>
      <c r="I1289" s="32">
        <v>343515662</v>
      </c>
      <c r="J1289" s="32">
        <v>3299781707</v>
      </c>
      <c r="M1289" s="21">
        <v>16795000000</v>
      </c>
    </row>
    <row r="1290" spans="1:13">
      <c r="A1290" s="4">
        <v>45119</v>
      </c>
      <c r="B1290" s="32"/>
      <c r="C1290" s="32"/>
      <c r="D1290" s="32">
        <v>2596731035.75</v>
      </c>
      <c r="E1290" s="32" t="s">
        <v>74</v>
      </c>
      <c r="F1290" s="32">
        <v>2596731035.75</v>
      </c>
      <c r="G1290" s="33">
        <v>261223730</v>
      </c>
      <c r="H1290" s="32" t="s">
        <v>75</v>
      </c>
      <c r="I1290" s="32">
        <v>261223730</v>
      </c>
      <c r="J1290" s="32">
        <v>2857954765.75</v>
      </c>
      <c r="M1290" s="21">
        <v>29493000000</v>
      </c>
    </row>
    <row r="1291" spans="1:13">
      <c r="A1291" s="4">
        <v>45120</v>
      </c>
      <c r="B1291" s="32"/>
      <c r="C1291" s="32"/>
      <c r="D1291" s="32">
        <v>5013871106</v>
      </c>
      <c r="E1291" s="32">
        <v>770900</v>
      </c>
      <c r="F1291" s="32">
        <v>5014642006</v>
      </c>
      <c r="G1291" s="33">
        <v>51054858</v>
      </c>
      <c r="H1291" s="32" t="s">
        <v>75</v>
      </c>
      <c r="I1291" s="32">
        <v>51054858</v>
      </c>
      <c r="J1291" s="32">
        <v>5065696864</v>
      </c>
      <c r="M1291" s="21">
        <v>32281000000</v>
      </c>
    </row>
    <row r="1292" spans="1:13">
      <c r="A1292" s="4">
        <v>45121</v>
      </c>
      <c r="B1292" s="32"/>
      <c r="C1292" s="32"/>
      <c r="D1292" s="32">
        <v>2092520041</v>
      </c>
      <c r="E1292" s="32" t="s">
        <v>74</v>
      </c>
      <c r="F1292" s="32">
        <v>2092520041</v>
      </c>
      <c r="G1292" s="33">
        <v>96251829</v>
      </c>
      <c r="H1292" s="32">
        <v>100000000</v>
      </c>
      <c r="I1292" s="32">
        <v>196251829</v>
      </c>
      <c r="J1292" s="32">
        <v>2288771870</v>
      </c>
      <c r="M1292" s="21">
        <v>35055000000</v>
      </c>
    </row>
    <row r="1293" spans="1:13">
      <c r="A1293" s="4">
        <v>45122</v>
      </c>
      <c r="B1293" s="32"/>
      <c r="C1293" s="32"/>
      <c r="D1293" s="32"/>
      <c r="E1293" s="32" t="s">
        <v>74</v>
      </c>
      <c r="F1293" s="32" t="s">
        <v>75</v>
      </c>
      <c r="G1293" s="33">
        <v>8407071</v>
      </c>
      <c r="H1293" s="32" t="s">
        <v>75</v>
      </c>
      <c r="I1293" s="32">
        <v>8407071</v>
      </c>
      <c r="J1293" s="32">
        <v>8407071</v>
      </c>
      <c r="M1293" s="21">
        <v>35055000000</v>
      </c>
    </row>
    <row r="1294" spans="1:13">
      <c r="A1294" s="4">
        <v>45123</v>
      </c>
      <c r="B1294" s="32"/>
      <c r="C1294" s="32"/>
      <c r="D1294" s="32"/>
      <c r="E1294" s="32" t="s">
        <v>74</v>
      </c>
      <c r="F1294" s="32" t="s">
        <v>75</v>
      </c>
      <c r="G1294" s="33"/>
      <c r="H1294" s="32" t="s">
        <v>75</v>
      </c>
      <c r="I1294" s="32" t="s">
        <v>75</v>
      </c>
      <c r="J1294" s="32" t="s">
        <v>76</v>
      </c>
      <c r="M1294" s="21">
        <v>35055000000</v>
      </c>
    </row>
    <row r="1295" spans="1:13">
      <c r="A1295" s="4">
        <v>45124</v>
      </c>
      <c r="B1295" s="32"/>
      <c r="C1295" s="32"/>
      <c r="D1295" s="32">
        <v>2306205626</v>
      </c>
      <c r="E1295" s="32" t="s">
        <v>74</v>
      </c>
      <c r="F1295" s="32">
        <v>2306205626</v>
      </c>
      <c r="G1295" s="33">
        <v>88907426</v>
      </c>
      <c r="H1295" s="32" t="s">
        <v>75</v>
      </c>
      <c r="I1295" s="32">
        <v>88907426</v>
      </c>
      <c r="J1295" s="32">
        <v>2395113052</v>
      </c>
      <c r="M1295" s="21">
        <v>37816000000</v>
      </c>
    </row>
    <row r="1296" spans="1:13">
      <c r="A1296" s="4">
        <v>45125</v>
      </c>
      <c r="B1296" s="32"/>
      <c r="C1296" s="32"/>
      <c r="D1296" s="32">
        <v>2577988985.8000002</v>
      </c>
      <c r="E1296" s="32" t="s">
        <v>74</v>
      </c>
      <c r="F1296" s="32">
        <v>2577988985.8000002</v>
      </c>
      <c r="G1296" s="33">
        <v>121281249</v>
      </c>
      <c r="H1296" s="32" t="s">
        <v>75</v>
      </c>
      <c r="I1296" s="32">
        <v>121281249</v>
      </c>
      <c r="J1296" s="32">
        <v>2699270234.8000002</v>
      </c>
      <c r="M1296" s="21">
        <v>40604000000</v>
      </c>
    </row>
    <row r="1297" spans="1:13">
      <c r="A1297" s="4">
        <v>45126</v>
      </c>
      <c r="B1297" s="32"/>
      <c r="C1297" s="32"/>
      <c r="D1297" s="32">
        <v>2409938733</v>
      </c>
      <c r="E1297" s="32">
        <v>368783552</v>
      </c>
      <c r="F1297" s="32">
        <v>2778722285</v>
      </c>
      <c r="G1297" s="33">
        <v>98051045</v>
      </c>
      <c r="H1297" s="32"/>
      <c r="I1297" s="32">
        <v>98051045</v>
      </c>
      <c r="J1297" s="32">
        <v>2876773330</v>
      </c>
      <c r="M1297" s="21">
        <v>43404000000</v>
      </c>
    </row>
    <row r="1298" spans="1:13">
      <c r="A1298" s="4">
        <v>45127</v>
      </c>
      <c r="B1298" s="32"/>
      <c r="C1298" s="32">
        <v>432691295.12</v>
      </c>
      <c r="D1298" s="32">
        <v>1649092505.8800001</v>
      </c>
      <c r="E1298" s="32"/>
      <c r="F1298" s="32">
        <v>1649092505.8800001</v>
      </c>
      <c r="G1298" s="33">
        <v>92981812</v>
      </c>
      <c r="H1298" s="32"/>
      <c r="I1298" s="32">
        <v>92981812</v>
      </c>
      <c r="J1298" s="32">
        <v>1742074317.8800001</v>
      </c>
      <c r="M1298" s="21">
        <v>46192000000</v>
      </c>
    </row>
    <row r="1299" spans="1:13">
      <c r="A1299" s="4">
        <v>45128</v>
      </c>
      <c r="B1299" s="32"/>
      <c r="C1299" s="32"/>
      <c r="D1299" s="32">
        <v>1786620699</v>
      </c>
      <c r="E1299" s="32">
        <v>2223376</v>
      </c>
      <c r="F1299" s="32">
        <v>1788844075</v>
      </c>
      <c r="G1299" s="33">
        <v>474561461</v>
      </c>
      <c r="H1299" s="32">
        <v>100000000</v>
      </c>
      <c r="I1299" s="32">
        <v>574561461</v>
      </c>
      <c r="J1299" s="32">
        <v>2363405536</v>
      </c>
      <c r="M1299" s="21">
        <v>49067000000</v>
      </c>
    </row>
    <row r="1300" spans="1:13">
      <c r="A1300" s="4">
        <v>45129</v>
      </c>
      <c r="B1300" s="32"/>
      <c r="C1300" s="32"/>
      <c r="D1300" s="32"/>
      <c r="E1300" s="32"/>
      <c r="F1300" s="32" t="s">
        <v>75</v>
      </c>
      <c r="G1300" s="33">
        <v>8885745</v>
      </c>
      <c r="H1300" s="32"/>
      <c r="I1300" s="32">
        <v>8885745</v>
      </c>
      <c r="J1300" s="32">
        <v>8885745</v>
      </c>
      <c r="M1300" s="21">
        <v>49067000000</v>
      </c>
    </row>
    <row r="1301" spans="1:13">
      <c r="A1301" s="4">
        <v>45130</v>
      </c>
      <c r="B1301" s="32"/>
      <c r="C1301" s="32"/>
      <c r="D1301" s="32"/>
      <c r="E1301" s="32"/>
      <c r="F1301" s="32" t="s">
        <v>75</v>
      </c>
      <c r="G1301" s="33"/>
      <c r="H1301" s="32"/>
      <c r="I1301" s="32" t="s">
        <v>75</v>
      </c>
      <c r="J1301" s="32" t="s">
        <v>76</v>
      </c>
      <c r="M1301" s="21">
        <v>49067000000</v>
      </c>
    </row>
    <row r="1302" spans="1:13">
      <c r="A1302" s="4">
        <v>45131</v>
      </c>
      <c r="B1302" s="32"/>
      <c r="C1302" s="32"/>
      <c r="D1302" s="32">
        <v>2622444590.8000002</v>
      </c>
      <c r="E1302" s="32"/>
      <c r="F1302" s="32">
        <v>2622444590.8000002</v>
      </c>
      <c r="G1302" s="33">
        <v>99280490</v>
      </c>
      <c r="H1302" s="32"/>
      <c r="I1302" s="32">
        <v>99280490</v>
      </c>
      <c r="J1302" s="32">
        <v>2721725080.8000002</v>
      </c>
      <c r="M1302" s="21">
        <v>51830000000</v>
      </c>
    </row>
    <row r="1303" spans="1:13">
      <c r="A1303" s="4">
        <v>45132</v>
      </c>
      <c r="B1303" s="32"/>
      <c r="C1303" s="32"/>
      <c r="D1303" s="32">
        <v>2639785947.3899999</v>
      </c>
      <c r="E1303" s="32">
        <v>11709295</v>
      </c>
      <c r="F1303" s="32">
        <v>2651495242.3899999</v>
      </c>
      <c r="G1303" s="33">
        <v>139607048</v>
      </c>
      <c r="H1303" s="32"/>
      <c r="I1303" s="32">
        <v>139607048</v>
      </c>
      <c r="J1303" s="32">
        <v>2791102290.3899999</v>
      </c>
      <c r="M1303" s="21">
        <v>54617000000</v>
      </c>
    </row>
    <row r="1304" spans="1:13">
      <c r="A1304" s="4">
        <v>45133</v>
      </c>
      <c r="B1304" s="32"/>
      <c r="C1304" s="32"/>
      <c r="D1304" s="32">
        <v>5452148315</v>
      </c>
      <c r="E1304" s="32">
        <v>551934.6</v>
      </c>
      <c r="F1304" s="32">
        <v>5452700249.6000004</v>
      </c>
      <c r="G1304" s="33">
        <v>111641307</v>
      </c>
      <c r="H1304" s="32"/>
      <c r="I1304" s="32">
        <v>111641307</v>
      </c>
      <c r="J1304" s="32">
        <v>5564341556.6000004</v>
      </c>
      <c r="M1304" s="21">
        <v>57415000000</v>
      </c>
    </row>
    <row r="1305" spans="1:13">
      <c r="A1305" s="4">
        <v>45134</v>
      </c>
      <c r="B1305" s="32"/>
      <c r="C1305" s="32"/>
      <c r="D1305" s="32">
        <v>2080301018.5</v>
      </c>
      <c r="E1305" s="32">
        <v>5571169</v>
      </c>
      <c r="F1305" s="32">
        <v>2085872187.5</v>
      </c>
      <c r="G1305" s="33">
        <v>2280234569</v>
      </c>
      <c r="H1305" s="32"/>
      <c r="I1305" s="32">
        <v>2280234569</v>
      </c>
      <c r="J1305" s="32">
        <v>4366106756.5</v>
      </c>
      <c r="M1305" s="21">
        <v>60203000000</v>
      </c>
    </row>
    <row r="1306" spans="1:13">
      <c r="A1306" s="4">
        <v>45135</v>
      </c>
      <c r="B1306" s="32"/>
      <c r="C1306" s="32"/>
      <c r="D1306" s="32">
        <v>2292636227</v>
      </c>
      <c r="E1306" s="32">
        <v>218836833.69</v>
      </c>
      <c r="F1306" s="32">
        <v>2511473060.6900001</v>
      </c>
      <c r="G1306" s="33">
        <v>61663989</v>
      </c>
      <c r="H1306" s="32">
        <v>100000000</v>
      </c>
      <c r="I1306" s="32">
        <v>161663989</v>
      </c>
      <c r="J1306" s="32">
        <v>2673137049.6900001</v>
      </c>
      <c r="M1306" s="21">
        <v>63077000000</v>
      </c>
    </row>
    <row r="1307" spans="1:13">
      <c r="A1307" s="4">
        <v>45136</v>
      </c>
      <c r="B1307" s="32"/>
      <c r="C1307" s="32"/>
      <c r="D1307" s="32"/>
      <c r="E1307" s="32"/>
      <c r="F1307" s="32" t="s">
        <v>75</v>
      </c>
      <c r="G1307" s="33">
        <v>17456859</v>
      </c>
      <c r="H1307" s="32"/>
      <c r="I1307" s="32">
        <v>17456859</v>
      </c>
      <c r="J1307" s="32">
        <v>17456859</v>
      </c>
      <c r="M1307" s="21">
        <v>63077000000</v>
      </c>
    </row>
    <row r="1308" spans="1:13">
      <c r="A1308" s="4">
        <v>45137</v>
      </c>
      <c r="B1308" s="32"/>
      <c r="C1308" s="32"/>
      <c r="D1308" s="32"/>
      <c r="E1308" s="32"/>
      <c r="F1308" s="32" t="s">
        <v>75</v>
      </c>
      <c r="G1308" s="33">
        <v>550</v>
      </c>
      <c r="H1308" s="32"/>
      <c r="I1308" s="32">
        <v>550</v>
      </c>
      <c r="J1308" s="32">
        <v>550</v>
      </c>
      <c r="M1308" s="21">
        <v>63077000000</v>
      </c>
    </row>
    <row r="1309" spans="1:13">
      <c r="A1309" s="4">
        <v>45138</v>
      </c>
      <c r="B1309" s="32"/>
      <c r="C1309" s="32"/>
      <c r="D1309" s="32">
        <v>2013722073.3299999</v>
      </c>
      <c r="E1309" s="32">
        <v>684296.84</v>
      </c>
      <c r="F1309" s="32">
        <v>2014406370.1700001</v>
      </c>
      <c r="G1309" s="33">
        <v>104714449</v>
      </c>
      <c r="H1309" s="32"/>
      <c r="I1309" s="32">
        <v>104714449</v>
      </c>
      <c r="J1309" s="32">
        <v>2119120819.1700001</v>
      </c>
    </row>
    <row r="1310" spans="1:13">
      <c r="A1310" s="4">
        <v>45139</v>
      </c>
      <c r="B1310" s="32"/>
      <c r="C1310" s="32"/>
      <c r="D1310" s="32"/>
      <c r="E1310" s="32" t="s">
        <v>74</v>
      </c>
      <c r="F1310" s="32" t="s">
        <v>75</v>
      </c>
      <c r="G1310" s="33">
        <v>3415750</v>
      </c>
      <c r="H1310" s="32" t="s">
        <v>75</v>
      </c>
      <c r="I1310" s="32">
        <v>3415750</v>
      </c>
      <c r="J1310" s="32">
        <v>3415750</v>
      </c>
      <c r="M1310" s="21" t="s">
        <v>76</v>
      </c>
    </row>
    <row r="1311" spans="1:13">
      <c r="A1311" s="4">
        <v>45140</v>
      </c>
      <c r="B1311" s="32"/>
      <c r="C1311" s="32"/>
      <c r="D1311" s="32"/>
      <c r="E1311" s="32" t="s">
        <v>74</v>
      </c>
      <c r="F1311" s="32" t="s">
        <v>75</v>
      </c>
      <c r="G1311" s="33">
        <v>229550</v>
      </c>
      <c r="H1311" s="32" t="s">
        <v>75</v>
      </c>
      <c r="I1311" s="32">
        <v>229550</v>
      </c>
      <c r="J1311" s="32">
        <v>229550</v>
      </c>
      <c r="M1311" s="21" t="s">
        <v>76</v>
      </c>
    </row>
    <row r="1312" spans="1:13">
      <c r="A1312" s="4">
        <v>45141</v>
      </c>
      <c r="B1312" s="32"/>
      <c r="C1312" s="32"/>
      <c r="D1312" s="32"/>
      <c r="E1312" s="32" t="s">
        <v>74</v>
      </c>
      <c r="F1312" s="32" t="s">
        <v>75</v>
      </c>
      <c r="G1312" s="33">
        <v>6820950</v>
      </c>
      <c r="H1312" s="32" t="s">
        <v>75</v>
      </c>
      <c r="I1312" s="32">
        <v>6820950</v>
      </c>
      <c r="J1312" s="32">
        <v>6820950</v>
      </c>
      <c r="M1312" s="21" t="s">
        <v>76</v>
      </c>
    </row>
    <row r="1313" spans="1:13">
      <c r="A1313" s="4">
        <v>45142</v>
      </c>
      <c r="B1313" s="32"/>
      <c r="C1313" s="32"/>
      <c r="D1313" s="32">
        <v>3928717498.96</v>
      </c>
      <c r="E1313" s="32" t="s">
        <v>74</v>
      </c>
      <c r="F1313" s="32">
        <v>3928717498.96</v>
      </c>
      <c r="G1313" s="33">
        <v>98743604</v>
      </c>
      <c r="H1313" s="32" t="s">
        <v>75</v>
      </c>
      <c r="I1313" s="32">
        <v>98743604</v>
      </c>
      <c r="J1313" s="32">
        <v>4027461102.96</v>
      </c>
      <c r="M1313" s="21">
        <v>2786000000</v>
      </c>
    </row>
    <row r="1314" spans="1:13">
      <c r="A1314" s="4">
        <v>45143</v>
      </c>
      <c r="B1314" s="32"/>
      <c r="C1314" s="32"/>
      <c r="D1314" s="32">
        <v>3571113879.3499999</v>
      </c>
      <c r="E1314" s="32" t="s">
        <v>74</v>
      </c>
      <c r="F1314" s="32">
        <v>3571113879.3499999</v>
      </c>
      <c r="G1314" s="33">
        <v>162991329</v>
      </c>
      <c r="H1314" s="32" t="s">
        <v>75</v>
      </c>
      <c r="I1314" s="32">
        <v>162991329</v>
      </c>
      <c r="J1314" s="32">
        <v>3734105208.3499999</v>
      </c>
      <c r="M1314" s="21">
        <v>5586000000</v>
      </c>
    </row>
    <row r="1315" spans="1:13">
      <c r="A1315" s="4">
        <v>45144</v>
      </c>
      <c r="B1315" s="32"/>
      <c r="C1315" s="32"/>
      <c r="D1315" s="32">
        <v>4917577995</v>
      </c>
      <c r="E1315" s="32">
        <v>1095375</v>
      </c>
      <c r="F1315" s="32">
        <v>4918673370</v>
      </c>
      <c r="G1315" s="33">
        <v>116553795</v>
      </c>
      <c r="H1315" s="32">
        <v>3400000000</v>
      </c>
      <c r="I1315" s="32">
        <v>3516553795</v>
      </c>
      <c r="J1315" s="32">
        <v>8435227165</v>
      </c>
      <c r="M1315" s="21">
        <v>8372000000</v>
      </c>
    </row>
    <row r="1316" spans="1:13">
      <c r="A1316" s="4">
        <v>45145</v>
      </c>
      <c r="B1316" s="32"/>
      <c r="C1316" s="32"/>
      <c r="D1316" s="32">
        <v>2154450977</v>
      </c>
      <c r="E1316" s="32" t="s">
        <v>74</v>
      </c>
      <c r="F1316" s="32">
        <v>2154450977</v>
      </c>
      <c r="G1316" s="33">
        <v>94025732</v>
      </c>
      <c r="H1316" s="32">
        <v>7636250880</v>
      </c>
      <c r="I1316" s="32">
        <v>7730276612</v>
      </c>
      <c r="J1316" s="32">
        <v>9884727589</v>
      </c>
      <c r="M1316" s="21">
        <v>11244000000</v>
      </c>
    </row>
    <row r="1317" spans="1:13">
      <c r="A1317" s="4">
        <v>45146</v>
      </c>
      <c r="B1317" s="32"/>
      <c r="C1317" s="32"/>
      <c r="D1317" s="32"/>
      <c r="E1317" s="32" t="s">
        <v>74</v>
      </c>
      <c r="F1317" s="32" t="s">
        <v>75</v>
      </c>
      <c r="G1317" s="33">
        <v>691250</v>
      </c>
      <c r="H1317" s="32" t="s">
        <v>75</v>
      </c>
      <c r="I1317" s="32">
        <v>691250</v>
      </c>
      <c r="J1317" s="32">
        <v>691250</v>
      </c>
      <c r="M1317" s="21">
        <v>11244000000</v>
      </c>
    </row>
    <row r="1318" spans="1:13">
      <c r="A1318" s="4">
        <v>45147</v>
      </c>
      <c r="B1318" s="32"/>
      <c r="C1318" s="32"/>
      <c r="D1318" s="32"/>
      <c r="E1318" s="32" t="s">
        <v>74</v>
      </c>
      <c r="F1318" s="32" t="s">
        <v>75</v>
      </c>
      <c r="G1318" s="33">
        <v>12876500</v>
      </c>
      <c r="H1318" s="32" t="s">
        <v>75</v>
      </c>
      <c r="I1318" s="32">
        <v>12876500</v>
      </c>
      <c r="J1318" s="32">
        <v>12876500</v>
      </c>
      <c r="M1318" s="21">
        <v>11244000000</v>
      </c>
    </row>
    <row r="1319" spans="1:13">
      <c r="A1319" s="4">
        <v>45148</v>
      </c>
      <c r="B1319" s="32"/>
      <c r="C1319" s="32"/>
      <c r="D1319" s="32">
        <v>3900285811</v>
      </c>
      <c r="E1319" s="32">
        <v>13587</v>
      </c>
      <c r="F1319" s="32">
        <v>3900299398</v>
      </c>
      <c r="G1319" s="33">
        <v>99444204</v>
      </c>
      <c r="H1319" s="32" t="s">
        <v>75</v>
      </c>
      <c r="I1319" s="32">
        <v>99444204</v>
      </c>
      <c r="J1319" s="32">
        <v>3999743602</v>
      </c>
      <c r="M1319" s="21">
        <v>14007000000</v>
      </c>
    </row>
    <row r="1320" spans="1:13">
      <c r="A1320" s="4">
        <v>45149</v>
      </c>
      <c r="B1320" s="32"/>
      <c r="C1320" s="32"/>
      <c r="D1320" s="32">
        <v>2956266045</v>
      </c>
      <c r="E1320" s="32" t="s">
        <v>74</v>
      </c>
      <c r="F1320" s="32">
        <v>2956266045</v>
      </c>
      <c r="G1320" s="33">
        <v>343515662</v>
      </c>
      <c r="H1320" s="32" t="s">
        <v>75</v>
      </c>
      <c r="I1320" s="32">
        <v>343515662</v>
      </c>
      <c r="J1320" s="32">
        <v>3299781707</v>
      </c>
      <c r="M1320" s="21">
        <v>16795000000</v>
      </c>
    </row>
    <row r="1321" spans="1:13">
      <c r="A1321" s="4">
        <v>45150</v>
      </c>
      <c r="B1321" s="32"/>
      <c r="C1321" s="32"/>
      <c r="D1321" s="32">
        <v>2596731035.75</v>
      </c>
      <c r="E1321" s="32" t="s">
        <v>74</v>
      </c>
      <c r="F1321" s="32">
        <v>2596731035.75</v>
      </c>
      <c r="G1321" s="33">
        <v>261223730</v>
      </c>
      <c r="H1321" s="32" t="s">
        <v>75</v>
      </c>
      <c r="I1321" s="32">
        <v>261223730</v>
      </c>
      <c r="J1321" s="32">
        <v>2857954765.75</v>
      </c>
      <c r="M1321" s="21">
        <v>29493000000</v>
      </c>
    </row>
    <row r="1322" spans="1:13">
      <c r="A1322" s="4">
        <v>45151</v>
      </c>
      <c r="B1322" s="32"/>
      <c r="C1322" s="32"/>
      <c r="D1322" s="32">
        <v>5013871106</v>
      </c>
      <c r="E1322" s="32">
        <v>770900</v>
      </c>
      <c r="F1322" s="32">
        <v>5014642006</v>
      </c>
      <c r="G1322" s="33">
        <v>51054858</v>
      </c>
      <c r="H1322" s="32" t="s">
        <v>75</v>
      </c>
      <c r="I1322" s="32">
        <v>51054858</v>
      </c>
      <c r="J1322" s="32">
        <v>5065696864</v>
      </c>
      <c r="M1322" s="21">
        <v>32281000000</v>
      </c>
    </row>
    <row r="1323" spans="1:13">
      <c r="A1323" s="4">
        <v>45152</v>
      </c>
      <c r="B1323" s="32"/>
      <c r="C1323" s="32"/>
      <c r="D1323" s="32">
        <v>2092520041</v>
      </c>
      <c r="E1323" s="32" t="s">
        <v>74</v>
      </c>
      <c r="F1323" s="32">
        <v>2092520041</v>
      </c>
      <c r="G1323" s="33">
        <v>96251829</v>
      </c>
      <c r="H1323" s="32">
        <v>100000000</v>
      </c>
      <c r="I1323" s="32">
        <v>196251829</v>
      </c>
      <c r="J1323" s="32">
        <v>2288771870</v>
      </c>
      <c r="M1323" s="21">
        <v>35055000000</v>
      </c>
    </row>
    <row r="1324" spans="1:13">
      <c r="A1324" s="4">
        <v>45153</v>
      </c>
      <c r="B1324" s="32"/>
      <c r="C1324" s="32"/>
      <c r="D1324" s="32"/>
      <c r="E1324" s="32" t="s">
        <v>74</v>
      </c>
      <c r="F1324" s="32" t="s">
        <v>75</v>
      </c>
      <c r="G1324" s="33">
        <v>8407071</v>
      </c>
      <c r="H1324" s="32" t="s">
        <v>75</v>
      </c>
      <c r="I1324" s="32">
        <v>8407071</v>
      </c>
      <c r="J1324" s="32">
        <v>8407071</v>
      </c>
      <c r="M1324" s="21">
        <v>35055000000</v>
      </c>
    </row>
    <row r="1325" spans="1:13">
      <c r="A1325" s="4">
        <v>45154</v>
      </c>
      <c r="B1325" s="32"/>
      <c r="C1325" s="32"/>
      <c r="D1325" s="32"/>
      <c r="E1325" s="32" t="s">
        <v>74</v>
      </c>
      <c r="F1325" s="32" t="s">
        <v>75</v>
      </c>
      <c r="G1325" s="33"/>
      <c r="H1325" s="32" t="s">
        <v>75</v>
      </c>
      <c r="I1325" s="32" t="s">
        <v>75</v>
      </c>
      <c r="J1325" s="32" t="s">
        <v>76</v>
      </c>
      <c r="M1325" s="21">
        <v>35055000000</v>
      </c>
    </row>
    <row r="1326" spans="1:13">
      <c r="A1326" s="4">
        <v>45155</v>
      </c>
      <c r="B1326" s="32"/>
      <c r="C1326" s="32"/>
      <c r="D1326" s="32">
        <v>2306205626</v>
      </c>
      <c r="E1326" s="32" t="s">
        <v>74</v>
      </c>
      <c r="F1326" s="32">
        <v>2306205626</v>
      </c>
      <c r="G1326" s="33">
        <v>88907426</v>
      </c>
      <c r="H1326" s="32" t="s">
        <v>75</v>
      </c>
      <c r="I1326" s="32">
        <v>88907426</v>
      </c>
      <c r="J1326" s="32">
        <v>2395113052</v>
      </c>
      <c r="M1326" s="21">
        <v>37816000000</v>
      </c>
    </row>
    <row r="1327" spans="1:13">
      <c r="A1327" s="4">
        <v>45156</v>
      </c>
      <c r="B1327" s="32"/>
      <c r="C1327" s="32"/>
      <c r="D1327" s="32">
        <v>2577988985.8000002</v>
      </c>
      <c r="E1327" s="32" t="s">
        <v>74</v>
      </c>
      <c r="F1327" s="32">
        <v>2577988985.8000002</v>
      </c>
      <c r="G1327" s="33">
        <v>121281249</v>
      </c>
      <c r="H1327" s="32" t="s">
        <v>75</v>
      </c>
      <c r="I1327" s="32">
        <v>121281249</v>
      </c>
      <c r="J1327" s="32">
        <v>2699270234.8000002</v>
      </c>
      <c r="M1327" s="21">
        <v>40604000000</v>
      </c>
    </row>
    <row r="1328" spans="1:13">
      <c r="A1328" s="4">
        <v>45157</v>
      </c>
      <c r="B1328" s="32"/>
      <c r="C1328" s="32"/>
      <c r="D1328" s="32">
        <v>2409938733</v>
      </c>
      <c r="E1328" s="32">
        <v>368783552</v>
      </c>
      <c r="F1328" s="32">
        <v>2778722285</v>
      </c>
      <c r="G1328" s="33">
        <v>98051045</v>
      </c>
      <c r="H1328" s="32"/>
      <c r="I1328" s="32">
        <v>98051045</v>
      </c>
      <c r="J1328" s="32">
        <v>2876773330</v>
      </c>
      <c r="M1328" s="21">
        <v>43404000000</v>
      </c>
    </row>
    <row r="1329" spans="1:13">
      <c r="A1329" s="4">
        <v>45158</v>
      </c>
      <c r="B1329" s="32"/>
      <c r="C1329" s="32">
        <v>432691295.12</v>
      </c>
      <c r="D1329" s="32">
        <v>1649092505.8800001</v>
      </c>
      <c r="E1329" s="32"/>
      <c r="F1329" s="32">
        <v>1649092505.8800001</v>
      </c>
      <c r="G1329" s="33">
        <v>92981812</v>
      </c>
      <c r="H1329" s="32"/>
      <c r="I1329" s="32">
        <v>92981812</v>
      </c>
      <c r="J1329" s="32">
        <v>1742074317.8800001</v>
      </c>
      <c r="M1329" s="21">
        <v>46192000000</v>
      </c>
    </row>
    <row r="1330" spans="1:13">
      <c r="A1330" s="4">
        <v>45159</v>
      </c>
      <c r="B1330" s="32"/>
      <c r="C1330" s="32"/>
      <c r="D1330" s="32">
        <v>1786620699</v>
      </c>
      <c r="E1330" s="32">
        <v>2223376</v>
      </c>
      <c r="F1330" s="32">
        <v>1788844075</v>
      </c>
      <c r="G1330" s="33">
        <v>474561461</v>
      </c>
      <c r="H1330" s="32">
        <v>100000000</v>
      </c>
      <c r="I1330" s="32">
        <v>574561461</v>
      </c>
      <c r="J1330" s="32">
        <v>2363405536</v>
      </c>
      <c r="M1330" s="21">
        <v>49067000000</v>
      </c>
    </row>
    <row r="1331" spans="1:13">
      <c r="A1331" s="4">
        <v>45160</v>
      </c>
      <c r="B1331" s="32"/>
      <c r="C1331" s="32"/>
      <c r="D1331" s="32"/>
      <c r="E1331" s="32"/>
      <c r="F1331" s="32" t="s">
        <v>75</v>
      </c>
      <c r="G1331" s="33">
        <v>8885745</v>
      </c>
      <c r="H1331" s="32"/>
      <c r="I1331" s="32">
        <v>8885745</v>
      </c>
      <c r="J1331" s="32">
        <v>8885745</v>
      </c>
      <c r="M1331" s="21">
        <v>49067000000</v>
      </c>
    </row>
    <row r="1332" spans="1:13">
      <c r="A1332" s="4">
        <v>45161</v>
      </c>
      <c r="B1332" s="32"/>
      <c r="C1332" s="32"/>
      <c r="D1332" s="32"/>
      <c r="E1332" s="32"/>
      <c r="F1332" s="32" t="s">
        <v>75</v>
      </c>
      <c r="G1332" s="33"/>
      <c r="H1332" s="32"/>
      <c r="I1332" s="32" t="s">
        <v>75</v>
      </c>
      <c r="J1332" s="32" t="s">
        <v>76</v>
      </c>
      <c r="M1332" s="21">
        <v>49067000000</v>
      </c>
    </row>
    <row r="1333" spans="1:13">
      <c r="A1333" s="4">
        <v>45162</v>
      </c>
      <c r="B1333" s="32"/>
      <c r="C1333" s="32"/>
      <c r="D1333" s="32">
        <v>2622444590.8000002</v>
      </c>
      <c r="E1333" s="32"/>
      <c r="F1333" s="32">
        <v>2622444590.8000002</v>
      </c>
      <c r="G1333" s="33">
        <v>99280490</v>
      </c>
      <c r="H1333" s="32"/>
      <c r="I1333" s="32">
        <v>99280490</v>
      </c>
      <c r="J1333" s="32">
        <v>2721725080.8000002</v>
      </c>
      <c r="M1333" s="21">
        <v>51830000000</v>
      </c>
    </row>
    <row r="1334" spans="1:13">
      <c r="A1334" s="4">
        <v>45163</v>
      </c>
      <c r="B1334" s="32"/>
      <c r="C1334" s="32"/>
      <c r="D1334" s="32">
        <v>2639785947.3899999</v>
      </c>
      <c r="E1334" s="32">
        <v>11709295</v>
      </c>
      <c r="F1334" s="32">
        <v>2651495242.3899999</v>
      </c>
      <c r="G1334" s="33">
        <v>139607048</v>
      </c>
      <c r="H1334" s="32"/>
      <c r="I1334" s="32">
        <v>139607048</v>
      </c>
      <c r="J1334" s="32">
        <v>2791102290.3899999</v>
      </c>
      <c r="M1334" s="21">
        <v>54617000000</v>
      </c>
    </row>
    <row r="1335" spans="1:13">
      <c r="A1335" s="4">
        <v>45164</v>
      </c>
      <c r="B1335" s="32"/>
      <c r="C1335" s="32"/>
      <c r="D1335" s="32">
        <v>5452148315</v>
      </c>
      <c r="E1335" s="32">
        <v>551934.6</v>
      </c>
      <c r="F1335" s="32">
        <v>5452700249.6000004</v>
      </c>
      <c r="G1335" s="33">
        <v>111641307</v>
      </c>
      <c r="H1335" s="32"/>
      <c r="I1335" s="32">
        <v>111641307</v>
      </c>
      <c r="J1335" s="32">
        <v>5564341556.6000004</v>
      </c>
      <c r="M1335" s="21">
        <v>57415000000</v>
      </c>
    </row>
    <row r="1336" spans="1:13">
      <c r="A1336" s="4">
        <v>45165</v>
      </c>
      <c r="B1336" s="32"/>
      <c r="C1336" s="32"/>
      <c r="D1336" s="32">
        <v>2080301018.5</v>
      </c>
      <c r="E1336" s="32">
        <v>5571169</v>
      </c>
      <c r="F1336" s="32">
        <v>2085872187.5</v>
      </c>
      <c r="G1336" s="33">
        <v>2280234569</v>
      </c>
      <c r="H1336" s="32"/>
      <c r="I1336" s="32">
        <v>2280234569</v>
      </c>
      <c r="J1336" s="32">
        <v>4366106756.5</v>
      </c>
      <c r="M1336" s="21">
        <v>60203000000</v>
      </c>
    </row>
    <row r="1337" spans="1:13">
      <c r="A1337" s="4">
        <v>45166</v>
      </c>
      <c r="B1337" s="32"/>
      <c r="C1337" s="32"/>
      <c r="D1337" s="32">
        <v>2292636227</v>
      </c>
      <c r="E1337" s="32">
        <v>218836833.69</v>
      </c>
      <c r="F1337" s="32">
        <v>2511473060.6900001</v>
      </c>
      <c r="G1337" s="33">
        <v>61663989</v>
      </c>
      <c r="H1337" s="32">
        <v>100000000</v>
      </c>
      <c r="I1337" s="32">
        <v>161663989</v>
      </c>
      <c r="J1337" s="32">
        <v>2673137049.6900001</v>
      </c>
      <c r="M1337" s="21">
        <v>63077000000</v>
      </c>
    </row>
    <row r="1338" spans="1:13">
      <c r="A1338" s="4">
        <v>45167</v>
      </c>
      <c r="B1338" s="32"/>
      <c r="C1338" s="32"/>
      <c r="D1338" s="32"/>
      <c r="E1338" s="32"/>
      <c r="F1338" s="32" t="s">
        <v>75</v>
      </c>
      <c r="G1338" s="33">
        <v>17456859</v>
      </c>
      <c r="H1338" s="32"/>
      <c r="I1338" s="32">
        <v>17456859</v>
      </c>
      <c r="J1338" s="32">
        <v>17456859</v>
      </c>
      <c r="M1338" s="21">
        <v>63077000000</v>
      </c>
    </row>
    <row r="1339" spans="1:13">
      <c r="A1339" s="4">
        <v>45168</v>
      </c>
      <c r="B1339" s="32"/>
      <c r="C1339" s="32"/>
      <c r="D1339" s="32"/>
      <c r="E1339" s="32"/>
      <c r="F1339" s="32" t="s">
        <v>75</v>
      </c>
      <c r="G1339" s="33">
        <v>550</v>
      </c>
      <c r="H1339" s="32"/>
      <c r="I1339" s="32">
        <v>550</v>
      </c>
      <c r="J1339" s="32">
        <v>550</v>
      </c>
      <c r="M1339" s="21">
        <v>63077000000</v>
      </c>
    </row>
    <row r="1340" spans="1:13">
      <c r="A1340" s="4">
        <v>45169</v>
      </c>
      <c r="B1340" s="32"/>
      <c r="C1340" s="32"/>
      <c r="D1340" s="32">
        <v>2013722073.3299999</v>
      </c>
      <c r="E1340" s="32">
        <v>684296.84</v>
      </c>
      <c r="F1340" s="32">
        <v>2014406370.1700001</v>
      </c>
      <c r="G1340" s="33">
        <v>104714449</v>
      </c>
      <c r="H1340" s="32"/>
      <c r="I1340" s="32">
        <v>104714449</v>
      </c>
      <c r="J1340" s="32">
        <v>2119120819.1700001</v>
      </c>
    </row>
    <row r="1341" spans="1:13">
      <c r="A1341" s="4">
        <v>45170</v>
      </c>
      <c r="B1341" s="32"/>
      <c r="C1341" s="32"/>
      <c r="D1341" s="33">
        <v>2020397633</v>
      </c>
      <c r="E1341" s="32"/>
      <c r="F1341" s="33">
        <v>2020397633</v>
      </c>
      <c r="G1341" s="33">
        <v>62512404</v>
      </c>
      <c r="H1341" s="32">
        <v>100000000</v>
      </c>
      <c r="I1341" s="32">
        <v>162512404</v>
      </c>
      <c r="J1341" s="32">
        <v>2182910037</v>
      </c>
      <c r="M1341" s="21">
        <v>3162000000</v>
      </c>
    </row>
    <row r="1342" spans="1:13">
      <c r="A1342" s="4">
        <v>45171</v>
      </c>
      <c r="B1342" s="32"/>
      <c r="C1342" s="32"/>
      <c r="D1342" s="33"/>
      <c r="E1342" s="32"/>
      <c r="F1342" s="33" t="s">
        <v>75</v>
      </c>
      <c r="G1342" s="33">
        <v>6294561</v>
      </c>
      <c r="H1342" s="32"/>
      <c r="I1342" s="32">
        <v>6294561</v>
      </c>
      <c r="J1342" s="32">
        <v>6294561</v>
      </c>
      <c r="M1342" s="21">
        <v>3162000000</v>
      </c>
    </row>
    <row r="1343" spans="1:13">
      <c r="A1343" s="4">
        <v>45172</v>
      </c>
      <c r="B1343" s="32"/>
      <c r="C1343" s="32"/>
      <c r="D1343" s="33"/>
      <c r="E1343" s="32"/>
      <c r="F1343" s="33" t="s">
        <v>75</v>
      </c>
      <c r="G1343" s="33"/>
      <c r="H1343" s="32"/>
      <c r="I1343" s="32" t="s">
        <v>75</v>
      </c>
      <c r="J1343" s="32" t="s">
        <v>76</v>
      </c>
      <c r="M1343" s="21">
        <v>3162000000</v>
      </c>
    </row>
    <row r="1344" spans="1:13">
      <c r="A1344" s="4">
        <v>45173</v>
      </c>
      <c r="B1344" s="32"/>
      <c r="C1344" s="32"/>
      <c r="D1344" s="33">
        <v>6920886899.7200003</v>
      </c>
      <c r="E1344" s="32"/>
      <c r="F1344" s="33">
        <v>6920886899.7200003</v>
      </c>
      <c r="G1344" s="33">
        <v>139368906</v>
      </c>
      <c r="H1344" s="32"/>
      <c r="I1344" s="32">
        <v>139368906</v>
      </c>
      <c r="J1344" s="32">
        <v>7060255805.7200003</v>
      </c>
      <c r="M1344" s="21">
        <v>6231000000</v>
      </c>
    </row>
    <row r="1345" spans="1:13">
      <c r="A1345" s="4">
        <v>45174</v>
      </c>
      <c r="B1345" s="32"/>
      <c r="C1345" s="32"/>
      <c r="D1345" s="33">
        <v>5916370850</v>
      </c>
      <c r="E1345" s="32"/>
      <c r="F1345" s="33">
        <v>5916370850</v>
      </c>
      <c r="G1345" s="33">
        <v>193892678</v>
      </c>
      <c r="H1345" s="32"/>
      <c r="I1345" s="32">
        <v>193892678</v>
      </c>
      <c r="J1345" s="32">
        <v>6110263528</v>
      </c>
      <c r="M1345" s="21">
        <v>9314000000</v>
      </c>
    </row>
    <row r="1346" spans="1:13">
      <c r="A1346" s="4">
        <v>45175</v>
      </c>
      <c r="B1346" s="32"/>
      <c r="C1346" s="32"/>
      <c r="D1346" s="33">
        <v>2745527080.3299999</v>
      </c>
      <c r="E1346" s="32">
        <v>821100</v>
      </c>
      <c r="F1346" s="33">
        <v>2746348180.3299999</v>
      </c>
      <c r="G1346" s="33">
        <v>258377107</v>
      </c>
      <c r="H1346" s="32"/>
      <c r="I1346" s="32">
        <v>258377107</v>
      </c>
      <c r="J1346" s="32">
        <v>3004725287.3299999</v>
      </c>
      <c r="M1346" s="21">
        <v>12410000000</v>
      </c>
    </row>
    <row r="1347" spans="1:13">
      <c r="A1347" s="4">
        <v>45176</v>
      </c>
      <c r="B1347" s="32"/>
      <c r="C1347" s="32"/>
      <c r="D1347" s="33">
        <v>2641058796</v>
      </c>
      <c r="E1347" s="32"/>
      <c r="F1347" s="33">
        <v>2641058796</v>
      </c>
      <c r="G1347" s="33">
        <v>158809611</v>
      </c>
      <c r="H1347" s="32">
        <v>8967616340</v>
      </c>
      <c r="I1347" s="32">
        <v>9126425951</v>
      </c>
      <c r="J1347" s="32">
        <v>11767484747</v>
      </c>
      <c r="M1347" s="21">
        <v>15492000000</v>
      </c>
    </row>
    <row r="1348" spans="1:13">
      <c r="A1348" s="4">
        <v>45177</v>
      </c>
      <c r="B1348" s="32"/>
      <c r="C1348" s="32"/>
      <c r="D1348" s="33">
        <v>2698878563.3000002</v>
      </c>
      <c r="E1348" s="32"/>
      <c r="F1348" s="33">
        <v>2698878563.3000002</v>
      </c>
      <c r="G1348" s="33">
        <v>88272472</v>
      </c>
      <c r="H1348" s="32">
        <v>100000000</v>
      </c>
      <c r="I1348" s="32">
        <v>188272472</v>
      </c>
      <c r="J1348" s="32">
        <v>2887151035.3000002</v>
      </c>
      <c r="M1348" s="21">
        <v>29619000000</v>
      </c>
    </row>
    <row r="1349" spans="1:13">
      <c r="A1349" s="4">
        <v>45178</v>
      </c>
      <c r="B1349" s="32"/>
      <c r="C1349" s="32"/>
      <c r="D1349" s="33"/>
      <c r="E1349" s="32"/>
      <c r="F1349" s="33" t="s">
        <v>75</v>
      </c>
      <c r="G1349" s="33">
        <v>6231250</v>
      </c>
      <c r="H1349" s="32"/>
      <c r="I1349" s="32">
        <v>6231250</v>
      </c>
      <c r="J1349" s="32">
        <v>6231250</v>
      </c>
      <c r="M1349" s="21">
        <v>29619000000</v>
      </c>
    </row>
    <row r="1350" spans="1:13">
      <c r="A1350" s="4">
        <v>45179</v>
      </c>
      <c r="B1350" s="32"/>
      <c r="C1350" s="32"/>
      <c r="D1350" s="33"/>
      <c r="E1350" s="32"/>
      <c r="F1350" s="33" t="s">
        <v>75</v>
      </c>
      <c r="G1350" s="33">
        <v>5500</v>
      </c>
      <c r="H1350" s="32"/>
      <c r="I1350" s="32">
        <v>5500</v>
      </c>
      <c r="J1350" s="32">
        <v>5500</v>
      </c>
      <c r="M1350" s="21">
        <v>29619000000</v>
      </c>
    </row>
    <row r="1351" spans="1:13">
      <c r="A1351" s="4">
        <v>45180</v>
      </c>
      <c r="B1351" s="32"/>
      <c r="C1351" s="32"/>
      <c r="D1351" s="33">
        <v>10470685883.459999</v>
      </c>
      <c r="E1351" s="32"/>
      <c r="F1351" s="33">
        <v>10470685883.459999</v>
      </c>
      <c r="G1351" s="33">
        <v>88784194</v>
      </c>
      <c r="H1351" s="32"/>
      <c r="I1351" s="32">
        <v>88784194</v>
      </c>
      <c r="J1351" s="32">
        <v>10559470077.459999</v>
      </c>
      <c r="M1351" s="21">
        <v>32686000000</v>
      </c>
    </row>
    <row r="1352" spans="1:13">
      <c r="A1352" s="4">
        <v>45181</v>
      </c>
      <c r="B1352" s="32"/>
      <c r="C1352" s="32"/>
      <c r="D1352" s="33">
        <v>2993528118</v>
      </c>
      <c r="E1352" s="32" t="s">
        <v>74</v>
      </c>
      <c r="F1352" s="33">
        <v>2993528118</v>
      </c>
      <c r="G1352" s="33">
        <v>151682934</v>
      </c>
      <c r="H1352" s="32" t="s">
        <v>46</v>
      </c>
      <c r="I1352" s="32">
        <v>151682934</v>
      </c>
      <c r="J1352" s="32">
        <v>3145211052</v>
      </c>
      <c r="M1352" s="21">
        <v>35769000000</v>
      </c>
    </row>
    <row r="1353" spans="1:13">
      <c r="A1353" s="4">
        <v>45182</v>
      </c>
      <c r="B1353" s="32"/>
      <c r="C1353" s="32"/>
      <c r="D1353" s="33">
        <v>2311576741.4400001</v>
      </c>
      <c r="E1353" s="32">
        <v>5270591</v>
      </c>
      <c r="F1353" s="33">
        <v>2316847332.4400001</v>
      </c>
      <c r="G1353" s="33">
        <v>94319830</v>
      </c>
      <c r="H1353" s="32"/>
      <c r="I1353" s="32">
        <v>94319830</v>
      </c>
      <c r="J1353" s="32">
        <v>2411167162.4400001</v>
      </c>
      <c r="M1353" s="21">
        <v>38864000000</v>
      </c>
    </row>
    <row r="1354" spans="1:13">
      <c r="A1354" s="4">
        <v>45183</v>
      </c>
      <c r="B1354" s="32"/>
      <c r="C1354" s="32"/>
      <c r="D1354" s="33">
        <v>1868877207.5</v>
      </c>
      <c r="E1354" s="32"/>
      <c r="F1354" s="33">
        <v>1868877207.5</v>
      </c>
      <c r="G1354" s="33">
        <v>58051470</v>
      </c>
      <c r="H1354" s="32"/>
      <c r="I1354" s="32">
        <v>58051470</v>
      </c>
      <c r="J1354" s="32">
        <v>1926928677.5</v>
      </c>
      <c r="M1354" s="21">
        <v>41946000000</v>
      </c>
    </row>
    <row r="1355" spans="1:13">
      <c r="A1355" s="4">
        <v>45184</v>
      </c>
      <c r="B1355" s="32"/>
      <c r="C1355" s="32"/>
      <c r="D1355" s="33">
        <v>4867135161.3599997</v>
      </c>
      <c r="E1355" s="32"/>
      <c r="F1355" s="33">
        <v>4867135161.3599997</v>
      </c>
      <c r="G1355" s="33">
        <v>105320193</v>
      </c>
      <c r="H1355" s="32">
        <v>100000000</v>
      </c>
      <c r="I1355" s="32">
        <v>205320193</v>
      </c>
      <c r="J1355" s="32">
        <v>5072455354.3599997</v>
      </c>
      <c r="M1355" s="21">
        <v>45114000000</v>
      </c>
    </row>
    <row r="1356" spans="1:13">
      <c r="A1356" s="4">
        <v>45185</v>
      </c>
      <c r="B1356" s="32"/>
      <c r="C1356" s="32"/>
      <c r="D1356" s="33"/>
      <c r="E1356" s="32"/>
      <c r="F1356" s="33" t="s">
        <v>75</v>
      </c>
      <c r="G1356" s="33">
        <v>2265400</v>
      </c>
      <c r="H1356" s="32"/>
      <c r="I1356" s="32">
        <v>2265400</v>
      </c>
      <c r="J1356" s="32">
        <v>2265400</v>
      </c>
      <c r="M1356" s="21">
        <v>45114000000</v>
      </c>
    </row>
    <row r="1357" spans="1:13">
      <c r="A1357" s="4">
        <v>45186</v>
      </c>
      <c r="B1357" s="32"/>
      <c r="C1357" s="32"/>
      <c r="D1357" s="33"/>
      <c r="E1357" s="32"/>
      <c r="F1357" s="33" t="s">
        <v>75</v>
      </c>
      <c r="G1357" s="33">
        <v>5500</v>
      </c>
      <c r="H1357" s="32"/>
      <c r="I1357" s="32">
        <v>5500</v>
      </c>
      <c r="J1357" s="32">
        <v>5500</v>
      </c>
      <c r="M1357" s="21">
        <v>45114000000</v>
      </c>
    </row>
    <row r="1358" spans="1:13">
      <c r="A1358" s="4">
        <v>45187</v>
      </c>
      <c r="B1358" s="32"/>
      <c r="C1358" s="32"/>
      <c r="D1358" s="33">
        <v>1921763687</v>
      </c>
      <c r="E1358" s="32"/>
      <c r="F1358" s="33">
        <v>1921763687</v>
      </c>
      <c r="G1358" s="33">
        <v>106580804</v>
      </c>
      <c r="H1358" s="32"/>
      <c r="I1358" s="32">
        <v>106580804</v>
      </c>
      <c r="J1358" s="32">
        <v>2028344491</v>
      </c>
      <c r="M1358" s="21">
        <v>48180000000</v>
      </c>
    </row>
    <row r="1359" spans="1:13">
      <c r="A1359" s="4">
        <v>45188</v>
      </c>
      <c r="B1359" s="32"/>
      <c r="C1359" s="32"/>
      <c r="D1359" s="33">
        <v>2858224672.8000002</v>
      </c>
      <c r="E1359" s="32"/>
      <c r="F1359" s="33">
        <v>2858224672.8000002</v>
      </c>
      <c r="G1359" s="33">
        <v>256836371</v>
      </c>
      <c r="H1359" s="32"/>
      <c r="I1359" s="32">
        <v>256836371</v>
      </c>
      <c r="J1359" s="32">
        <v>3115061043.8000002</v>
      </c>
      <c r="M1359" s="21">
        <v>51263000000</v>
      </c>
    </row>
    <row r="1360" spans="1:13">
      <c r="A1360" s="4">
        <v>45189</v>
      </c>
      <c r="B1360" s="32"/>
      <c r="C1360" s="32"/>
      <c r="D1360" s="33">
        <v>2627667757</v>
      </c>
      <c r="E1360" s="32"/>
      <c r="F1360" s="33">
        <v>2627667757</v>
      </c>
      <c r="G1360" s="33">
        <v>238641620</v>
      </c>
      <c r="H1360" s="32"/>
      <c r="I1360" s="32">
        <v>238641620</v>
      </c>
      <c r="J1360" s="32">
        <v>2866309377</v>
      </c>
      <c r="M1360" s="21">
        <v>54358000000</v>
      </c>
    </row>
    <row r="1361" spans="1:13">
      <c r="A1361" s="4">
        <v>45190</v>
      </c>
      <c r="B1361" s="32"/>
      <c r="C1361" s="32"/>
      <c r="D1361" s="33">
        <v>2724894450</v>
      </c>
      <c r="E1361" s="32">
        <v>5232500</v>
      </c>
      <c r="F1361" s="33">
        <v>2730126950</v>
      </c>
      <c r="G1361" s="33">
        <v>123534015</v>
      </c>
      <c r="H1361" s="32"/>
      <c r="I1361" s="32">
        <v>123534015</v>
      </c>
      <c r="J1361" s="32">
        <v>2853660965</v>
      </c>
      <c r="M1361" s="21">
        <v>57440000000</v>
      </c>
    </row>
    <row r="1362" spans="1:13">
      <c r="A1362" s="4">
        <v>45191</v>
      </c>
      <c r="B1362" s="32"/>
      <c r="C1362" s="32">
        <v>591316394.82000005</v>
      </c>
      <c r="D1362" s="33">
        <v>913349574.17999995</v>
      </c>
      <c r="E1362" s="32"/>
      <c r="F1362" s="33">
        <v>913349574.17999995</v>
      </c>
      <c r="G1362" s="33">
        <v>113094375</v>
      </c>
      <c r="H1362" s="32">
        <v>100000000</v>
      </c>
      <c r="I1362" s="32">
        <v>213094375</v>
      </c>
      <c r="J1362" s="32">
        <v>1126443949.1800001</v>
      </c>
      <c r="M1362" s="21">
        <v>60606000000</v>
      </c>
    </row>
    <row r="1363" spans="1:13">
      <c r="A1363" s="4">
        <v>45192</v>
      </c>
      <c r="B1363" s="32"/>
      <c r="C1363" s="32"/>
      <c r="D1363" s="33"/>
      <c r="E1363" s="32"/>
      <c r="F1363" s="33" t="s">
        <v>75</v>
      </c>
      <c r="G1363" s="33">
        <v>5451137</v>
      </c>
      <c r="H1363" s="32"/>
      <c r="I1363" s="32">
        <v>5451137</v>
      </c>
      <c r="J1363" s="32">
        <v>5451137</v>
      </c>
      <c r="M1363" s="21">
        <v>60606000000</v>
      </c>
    </row>
    <row r="1364" spans="1:13">
      <c r="A1364" s="4">
        <v>45193</v>
      </c>
      <c r="B1364" s="32"/>
      <c r="C1364" s="32"/>
      <c r="D1364" s="33"/>
      <c r="E1364" s="32"/>
      <c r="F1364" s="33" t="s">
        <v>75</v>
      </c>
      <c r="G1364" s="33">
        <v>64955</v>
      </c>
      <c r="H1364" s="32"/>
      <c r="I1364" s="32">
        <v>64955</v>
      </c>
      <c r="J1364" s="32">
        <v>64955</v>
      </c>
      <c r="M1364" s="21">
        <v>60606000000</v>
      </c>
    </row>
    <row r="1365" spans="1:13">
      <c r="A1365" s="4">
        <v>45194</v>
      </c>
      <c r="B1365" s="32"/>
      <c r="C1365" s="32"/>
      <c r="D1365" s="33">
        <v>8629509396</v>
      </c>
      <c r="E1365" s="32">
        <v>1100</v>
      </c>
      <c r="F1365" s="33">
        <v>8629510496</v>
      </c>
      <c r="G1365" s="33">
        <v>151137626</v>
      </c>
      <c r="H1365" s="32"/>
      <c r="I1365" s="32">
        <v>151137626</v>
      </c>
      <c r="J1365" s="32">
        <v>8780648122</v>
      </c>
      <c r="M1365" s="21">
        <v>63672000000</v>
      </c>
    </row>
    <row r="1366" spans="1:13">
      <c r="A1366" s="4">
        <v>45195</v>
      </c>
      <c r="B1366" s="32"/>
      <c r="C1366" s="32"/>
      <c r="D1366" s="33">
        <v>3228111669</v>
      </c>
      <c r="E1366" s="32">
        <v>5166720</v>
      </c>
      <c r="F1366" s="33">
        <v>3233278389</v>
      </c>
      <c r="G1366" s="33">
        <v>165789495</v>
      </c>
      <c r="H1366" s="32"/>
      <c r="I1366" s="32">
        <v>165789495</v>
      </c>
      <c r="J1366" s="32">
        <v>3399067884</v>
      </c>
      <c r="M1366" s="21">
        <v>66752000000</v>
      </c>
    </row>
    <row r="1367" spans="1:13">
      <c r="A1367" s="4">
        <v>45196</v>
      </c>
      <c r="B1367" s="32"/>
      <c r="C1367" s="32"/>
      <c r="D1367" s="33">
        <v>2670681306.4000001</v>
      </c>
      <c r="E1367" s="32"/>
      <c r="F1367" s="33">
        <v>2670681306.4000001</v>
      </c>
      <c r="G1367" s="33">
        <v>198579184</v>
      </c>
      <c r="H1367" s="32">
        <v>100000000</v>
      </c>
      <c r="I1367" s="32">
        <v>298579184</v>
      </c>
      <c r="J1367" s="32">
        <v>2969260490.4000001</v>
      </c>
      <c r="M1367" s="21">
        <v>69944000000</v>
      </c>
    </row>
    <row r="1368" spans="1:13">
      <c r="A1368" s="4">
        <v>45197</v>
      </c>
      <c r="B1368" s="32"/>
      <c r="C1368" s="32"/>
      <c r="D1368" s="33"/>
      <c r="E1368" s="32"/>
      <c r="F1368" s="33" t="s">
        <v>75</v>
      </c>
      <c r="G1368" s="33">
        <v>3860850</v>
      </c>
      <c r="H1368" s="32"/>
      <c r="I1368" s="32">
        <v>3860850</v>
      </c>
      <c r="J1368" s="32">
        <v>3860850</v>
      </c>
      <c r="M1368" s="21">
        <v>69944000000</v>
      </c>
    </row>
    <row r="1369" spans="1:13">
      <c r="A1369" s="4">
        <v>45198</v>
      </c>
      <c r="B1369" s="32"/>
      <c r="C1369" s="32"/>
      <c r="D1369" s="33"/>
      <c r="E1369" s="32"/>
      <c r="F1369" s="33" t="s">
        <v>75</v>
      </c>
      <c r="G1369" s="33">
        <v>27500</v>
      </c>
      <c r="H1369" s="32"/>
      <c r="I1369" s="32">
        <v>27500</v>
      </c>
      <c r="J1369" s="32">
        <v>27500</v>
      </c>
      <c r="M1369" s="21">
        <v>69944000000</v>
      </c>
    </row>
    <row r="1370" spans="1:13">
      <c r="A1370" s="4">
        <v>45199</v>
      </c>
      <c r="B1370" s="32"/>
      <c r="C1370" s="32"/>
      <c r="D1370" s="33"/>
      <c r="E1370" s="32"/>
      <c r="F1370" s="33" t="s">
        <v>75</v>
      </c>
      <c r="G1370" s="33">
        <v>6264700</v>
      </c>
      <c r="H1370" s="32"/>
      <c r="I1370" s="32">
        <v>6264700</v>
      </c>
      <c r="J1370" s="32">
        <v>6264700</v>
      </c>
      <c r="M1370" s="21">
        <v>69944000000</v>
      </c>
    </row>
    <row r="1371" spans="1:13">
      <c r="A1371" s="4">
        <v>45200</v>
      </c>
      <c r="B1371" s="32"/>
      <c r="C1371" s="32"/>
      <c r="D1371" s="32"/>
      <c r="E1371" s="33"/>
      <c r="F1371" s="32" t="s">
        <v>75</v>
      </c>
      <c r="G1371" s="33">
        <v>2800</v>
      </c>
      <c r="H1371" s="32"/>
      <c r="I1371" s="32">
        <v>2800</v>
      </c>
      <c r="J1371" s="32">
        <v>2800</v>
      </c>
      <c r="M1371" s="21" t="s">
        <v>47</v>
      </c>
    </row>
    <row r="1372" spans="1:13">
      <c r="A1372" s="4">
        <v>45201</v>
      </c>
      <c r="B1372" s="32"/>
      <c r="C1372" s="32"/>
      <c r="D1372" s="32">
        <v>3776100641.3400002</v>
      </c>
      <c r="E1372" s="33"/>
      <c r="F1372" s="32">
        <v>3776100641.3400002</v>
      </c>
      <c r="G1372" s="33">
        <v>163453022</v>
      </c>
      <c r="H1372" s="32"/>
      <c r="I1372" s="32">
        <v>163453022</v>
      </c>
      <c r="J1372" s="32">
        <v>3939553663.3400002</v>
      </c>
      <c r="M1372" s="21">
        <v>3259000000</v>
      </c>
    </row>
    <row r="1373" spans="1:13">
      <c r="A1373" s="4">
        <v>45202</v>
      </c>
      <c r="B1373" s="32"/>
      <c r="C1373" s="32"/>
      <c r="D1373" s="32">
        <v>3178243555.5</v>
      </c>
      <c r="E1373" s="33"/>
      <c r="F1373" s="32">
        <v>3178243555.5</v>
      </c>
      <c r="G1373" s="33">
        <v>267220870</v>
      </c>
      <c r="H1373" s="32"/>
      <c r="I1373" s="32">
        <v>267220870</v>
      </c>
      <c r="J1373" s="32">
        <v>3445464425.5</v>
      </c>
      <c r="M1373" s="21">
        <v>6524000000</v>
      </c>
    </row>
    <row r="1374" spans="1:13">
      <c r="A1374" s="4">
        <v>45203</v>
      </c>
      <c r="B1374" s="32"/>
      <c r="C1374" s="32"/>
      <c r="D1374" s="32">
        <v>5897072995.3299999</v>
      </c>
      <c r="E1374" s="33">
        <v>780900</v>
      </c>
      <c r="F1374" s="32">
        <v>5897853895.3299999</v>
      </c>
      <c r="G1374" s="33">
        <v>164916931</v>
      </c>
      <c r="H1374" s="32"/>
      <c r="I1374" s="32">
        <v>164916931</v>
      </c>
      <c r="J1374" s="32">
        <v>6062770826.3299999</v>
      </c>
      <c r="M1374" s="21">
        <v>9797000000</v>
      </c>
    </row>
    <row r="1375" spans="1:13">
      <c r="A1375" s="4">
        <v>45204</v>
      </c>
      <c r="B1375" s="32"/>
      <c r="C1375" s="32"/>
      <c r="D1375" s="32">
        <v>2285831144</v>
      </c>
      <c r="E1375" s="33">
        <v>2948742</v>
      </c>
      <c r="F1375" s="32">
        <v>2288779886</v>
      </c>
      <c r="G1375" s="33">
        <v>148000355</v>
      </c>
      <c r="H1375" s="32"/>
      <c r="I1375" s="32">
        <v>148000355</v>
      </c>
      <c r="J1375" s="32">
        <v>2436780241</v>
      </c>
      <c r="M1375" s="21">
        <v>13062000000</v>
      </c>
    </row>
    <row r="1376" spans="1:13">
      <c r="A1376" s="4">
        <v>45205</v>
      </c>
      <c r="B1376" s="32"/>
      <c r="C1376" s="32"/>
      <c r="D1376" s="32">
        <v>8282596591</v>
      </c>
      <c r="E1376" s="33"/>
      <c r="F1376" s="32">
        <v>8282596591</v>
      </c>
      <c r="G1376" s="33">
        <v>91605527</v>
      </c>
      <c r="H1376" s="32">
        <v>8641166760</v>
      </c>
      <c r="I1376" s="32">
        <v>8732772287</v>
      </c>
      <c r="J1376" s="32">
        <v>17015368878</v>
      </c>
      <c r="M1376" s="21">
        <v>24522000000</v>
      </c>
    </row>
    <row r="1377" spans="1:13">
      <c r="A1377" s="4">
        <v>45206</v>
      </c>
      <c r="B1377" s="32"/>
      <c r="C1377" s="32"/>
      <c r="D1377" s="32"/>
      <c r="E1377" s="33"/>
      <c r="F1377" s="32" t="s">
        <v>75</v>
      </c>
      <c r="G1377" s="33">
        <v>760293</v>
      </c>
      <c r="H1377" s="32"/>
      <c r="I1377" s="32">
        <v>760293</v>
      </c>
      <c r="J1377" s="32">
        <v>760293</v>
      </c>
      <c r="M1377" s="21">
        <v>24522000000</v>
      </c>
    </row>
    <row r="1378" spans="1:13">
      <c r="A1378" s="4">
        <v>45207</v>
      </c>
      <c r="B1378" s="32"/>
      <c r="C1378" s="32"/>
      <c r="D1378" s="32"/>
      <c r="E1378" s="33"/>
      <c r="F1378" s="32" t="s">
        <v>75</v>
      </c>
      <c r="G1378" s="33">
        <v>12710350</v>
      </c>
      <c r="H1378" s="32"/>
      <c r="I1378" s="32">
        <v>12710350</v>
      </c>
      <c r="J1378" s="32">
        <v>12710350</v>
      </c>
      <c r="M1378" s="21">
        <v>24522000000</v>
      </c>
    </row>
    <row r="1379" spans="1:13">
      <c r="A1379" s="4">
        <v>45208</v>
      </c>
      <c r="B1379" s="32"/>
      <c r="C1379" s="32"/>
      <c r="D1379" s="32">
        <v>2695799745.3400002</v>
      </c>
      <c r="E1379" s="33"/>
      <c r="F1379" s="32">
        <v>2695799745.3400002</v>
      </c>
      <c r="G1379" s="33">
        <v>68037501</v>
      </c>
      <c r="H1379" s="32"/>
      <c r="I1379" s="32">
        <v>68037501</v>
      </c>
      <c r="J1379" s="32">
        <v>2763837246.3400002</v>
      </c>
      <c r="M1379" s="21">
        <v>27783000000</v>
      </c>
    </row>
    <row r="1380" spans="1:13">
      <c r="A1380" s="4">
        <v>45209</v>
      </c>
      <c r="B1380" s="32"/>
      <c r="C1380" s="32"/>
      <c r="D1380" s="32">
        <v>2282035276.8000002</v>
      </c>
      <c r="E1380" s="33">
        <v>7056</v>
      </c>
      <c r="F1380" s="32">
        <v>2282042332.8000002</v>
      </c>
      <c r="G1380" s="33">
        <v>138720003</v>
      </c>
      <c r="H1380" s="32"/>
      <c r="I1380" s="32">
        <v>138720003</v>
      </c>
      <c r="J1380" s="32">
        <v>2420762335.8000002</v>
      </c>
      <c r="M1380" s="21">
        <v>31050000000</v>
      </c>
    </row>
    <row r="1381" spans="1:13">
      <c r="A1381" s="4">
        <v>45210</v>
      </c>
      <c r="B1381" s="32"/>
      <c r="C1381" s="32"/>
      <c r="D1381" s="32">
        <v>9753797095.0499992</v>
      </c>
      <c r="E1381" s="33"/>
      <c r="F1381" s="32">
        <v>9753797095.0499992</v>
      </c>
      <c r="G1381" s="33">
        <v>181588658</v>
      </c>
      <c r="H1381" s="32"/>
      <c r="I1381" s="32">
        <v>181588658</v>
      </c>
      <c r="J1381" s="32">
        <v>9935385753.0499992</v>
      </c>
      <c r="M1381" s="21">
        <v>34324000000</v>
      </c>
    </row>
    <row r="1382" spans="1:13">
      <c r="A1382" s="4">
        <v>45211</v>
      </c>
      <c r="B1382" s="32"/>
      <c r="C1382" s="32"/>
      <c r="D1382" s="32">
        <v>5757519907</v>
      </c>
      <c r="E1382" s="33"/>
      <c r="F1382" s="32">
        <v>5757519907</v>
      </c>
      <c r="G1382" s="33">
        <v>106345506</v>
      </c>
      <c r="H1382" s="32"/>
      <c r="I1382" s="32">
        <v>106345506</v>
      </c>
      <c r="J1382" s="32">
        <v>5863865413</v>
      </c>
      <c r="M1382" s="21">
        <v>37592000000</v>
      </c>
    </row>
    <row r="1383" spans="1:13">
      <c r="A1383" s="4">
        <v>45212</v>
      </c>
      <c r="B1383" s="32"/>
      <c r="C1383" s="32"/>
      <c r="D1383" s="32">
        <v>2307142689</v>
      </c>
      <c r="E1383" s="33"/>
      <c r="F1383" s="32">
        <v>2307142689</v>
      </c>
      <c r="G1383" s="33">
        <v>111219491</v>
      </c>
      <c r="H1383" s="32">
        <v>100000000</v>
      </c>
      <c r="I1383" s="32">
        <v>211219491</v>
      </c>
      <c r="J1383" s="32">
        <v>2518362180</v>
      </c>
      <c r="M1383" s="21">
        <v>40954000000</v>
      </c>
    </row>
    <row r="1384" spans="1:13">
      <c r="A1384" s="4">
        <v>45213</v>
      </c>
      <c r="B1384" s="32"/>
      <c r="C1384" s="32"/>
      <c r="D1384" s="32"/>
      <c r="E1384" s="33"/>
      <c r="F1384" s="32" t="s">
        <v>75</v>
      </c>
      <c r="G1384" s="33">
        <v>2030650</v>
      </c>
      <c r="H1384" s="32"/>
      <c r="I1384" s="32">
        <v>2030650</v>
      </c>
      <c r="J1384" s="32">
        <v>2030650</v>
      </c>
      <c r="M1384" s="21">
        <v>40954000000</v>
      </c>
    </row>
    <row r="1385" spans="1:13">
      <c r="A1385" s="4">
        <v>45214</v>
      </c>
      <c r="B1385" s="32"/>
      <c r="C1385" s="32"/>
      <c r="D1385" s="32"/>
      <c r="E1385" s="33"/>
      <c r="F1385" s="32" t="s">
        <v>75</v>
      </c>
      <c r="G1385" s="33"/>
      <c r="H1385" s="32"/>
      <c r="I1385" s="32" t="s">
        <v>46</v>
      </c>
      <c r="J1385" s="32" t="s">
        <v>46</v>
      </c>
      <c r="M1385" s="21">
        <v>40954000000</v>
      </c>
    </row>
    <row r="1386" spans="1:13">
      <c r="A1386" s="4">
        <v>45215</v>
      </c>
      <c r="B1386" s="32"/>
      <c r="C1386" s="32"/>
      <c r="D1386" s="32">
        <v>2630132089.02</v>
      </c>
      <c r="E1386" s="33">
        <v>1856491.1</v>
      </c>
      <c r="F1386" s="32">
        <v>2631988580.1199999</v>
      </c>
      <c r="G1386" s="33">
        <v>131434380</v>
      </c>
      <c r="H1386" s="32"/>
      <c r="I1386" s="32">
        <v>131434380</v>
      </c>
      <c r="J1386" s="32">
        <v>2763422960.1199999</v>
      </c>
      <c r="M1386" s="21">
        <v>44218000000</v>
      </c>
    </row>
    <row r="1387" spans="1:13">
      <c r="A1387" s="4">
        <v>45216</v>
      </c>
      <c r="B1387" s="32"/>
      <c r="C1387" s="32"/>
      <c r="D1387" s="32">
        <v>2790915788</v>
      </c>
      <c r="E1387" s="33">
        <v>4156346992</v>
      </c>
      <c r="F1387" s="32">
        <v>6947262780</v>
      </c>
      <c r="G1387" s="33">
        <v>77789130</v>
      </c>
      <c r="H1387" s="32"/>
      <c r="I1387" s="32">
        <v>77789130</v>
      </c>
      <c r="J1387" s="32">
        <v>7025051910</v>
      </c>
      <c r="M1387" s="21">
        <v>47489000000</v>
      </c>
    </row>
    <row r="1388" spans="1:13">
      <c r="A1388" s="4">
        <v>45217</v>
      </c>
      <c r="B1388" s="32"/>
      <c r="C1388" s="32"/>
      <c r="D1388" s="32">
        <v>7793902948</v>
      </c>
      <c r="E1388" s="33"/>
      <c r="F1388" s="32">
        <v>7793902948</v>
      </c>
      <c r="G1388" s="33">
        <v>133222715</v>
      </c>
      <c r="H1388" s="32"/>
      <c r="I1388" s="32">
        <v>133222715</v>
      </c>
      <c r="J1388" s="32">
        <v>7927125663</v>
      </c>
      <c r="M1388" s="21">
        <v>50765000000</v>
      </c>
    </row>
    <row r="1389" spans="1:13">
      <c r="A1389" s="4">
        <v>45218</v>
      </c>
      <c r="B1389" s="32"/>
      <c r="C1389" s="32"/>
      <c r="D1389" s="32">
        <v>2406504843</v>
      </c>
      <c r="E1389" s="33"/>
      <c r="F1389" s="32">
        <v>2406504843</v>
      </c>
      <c r="G1389" s="33">
        <v>142766682</v>
      </c>
      <c r="H1389" s="32"/>
      <c r="I1389" s="32">
        <v>142766682</v>
      </c>
      <c r="J1389" s="32">
        <v>2549271525</v>
      </c>
      <c r="M1389" s="21">
        <v>54035000000</v>
      </c>
    </row>
    <row r="1390" spans="1:13">
      <c r="A1390" s="4">
        <v>45219</v>
      </c>
      <c r="B1390" s="32"/>
      <c r="C1390" s="32"/>
      <c r="D1390" s="32">
        <v>2021643958.5</v>
      </c>
      <c r="E1390" s="33"/>
      <c r="F1390" s="32">
        <v>2021643958.5</v>
      </c>
      <c r="G1390" s="33">
        <v>156301745</v>
      </c>
      <c r="H1390" s="32">
        <v>100000000</v>
      </c>
      <c r="I1390" s="32">
        <v>256301745</v>
      </c>
      <c r="J1390" s="32">
        <v>2277945703.5</v>
      </c>
      <c r="M1390" s="21">
        <v>57399000000</v>
      </c>
    </row>
    <row r="1391" spans="1:13">
      <c r="A1391" s="4">
        <v>45220</v>
      </c>
      <c r="B1391" s="32"/>
      <c r="C1391" s="32"/>
      <c r="D1391" s="32"/>
      <c r="E1391" s="33"/>
      <c r="F1391" s="32" t="s">
        <v>75</v>
      </c>
      <c r="G1391" s="33">
        <v>31059703</v>
      </c>
      <c r="H1391" s="32"/>
      <c r="I1391" s="32">
        <v>31059703</v>
      </c>
      <c r="J1391" s="32">
        <v>31059703</v>
      </c>
      <c r="M1391" s="21">
        <v>57399000000</v>
      </c>
    </row>
    <row r="1392" spans="1:13">
      <c r="A1392" s="4">
        <v>45221</v>
      </c>
      <c r="B1392" s="32"/>
      <c r="C1392" s="32"/>
      <c r="D1392" s="32"/>
      <c r="E1392" s="33"/>
      <c r="F1392" s="32" t="s">
        <v>75</v>
      </c>
      <c r="G1392" s="33">
        <v>27500</v>
      </c>
      <c r="H1392" s="32"/>
      <c r="I1392" s="32">
        <v>27500</v>
      </c>
      <c r="J1392" s="32">
        <v>27500</v>
      </c>
      <c r="M1392" s="21">
        <v>57399000000</v>
      </c>
    </row>
    <row r="1393" spans="1:13">
      <c r="A1393" s="4">
        <v>45222</v>
      </c>
      <c r="B1393" s="32"/>
      <c r="C1393" s="32"/>
      <c r="D1393" s="32">
        <v>5765280605</v>
      </c>
      <c r="E1393" s="33"/>
      <c r="F1393" s="32">
        <v>5765280605</v>
      </c>
      <c r="G1393" s="33">
        <v>155458792</v>
      </c>
      <c r="H1393" s="32"/>
      <c r="I1393" s="32">
        <v>155458792</v>
      </c>
      <c r="J1393" s="32">
        <v>5920739397</v>
      </c>
      <c r="M1393" s="21">
        <v>60664000000</v>
      </c>
    </row>
    <row r="1394" spans="1:13">
      <c r="A1394" s="4">
        <v>45223</v>
      </c>
      <c r="B1394" s="32"/>
      <c r="C1394" s="32"/>
      <c r="D1394" s="32">
        <v>6530267130</v>
      </c>
      <c r="E1394" s="33">
        <v>322491445</v>
      </c>
      <c r="F1394" s="32">
        <v>6852758575</v>
      </c>
      <c r="G1394" s="33">
        <v>146770154</v>
      </c>
      <c r="H1394" s="32"/>
      <c r="I1394" s="32">
        <v>146770154</v>
      </c>
      <c r="J1394" s="32">
        <v>6999528729</v>
      </c>
      <c r="M1394" s="21">
        <v>63935000000</v>
      </c>
    </row>
    <row r="1395" spans="1:13">
      <c r="A1395" s="4">
        <v>45224</v>
      </c>
      <c r="B1395" s="32"/>
      <c r="C1395" s="32"/>
      <c r="D1395" s="32">
        <v>2237181222.2199998</v>
      </c>
      <c r="E1395" s="33">
        <v>13157105</v>
      </c>
      <c r="F1395" s="32">
        <v>2250338327.2199998</v>
      </c>
      <c r="G1395" s="33">
        <v>264154941</v>
      </c>
      <c r="H1395" s="32"/>
      <c r="I1395" s="32">
        <v>264154941</v>
      </c>
      <c r="J1395" s="32">
        <v>2514493268.2199998</v>
      </c>
      <c r="M1395" s="21">
        <v>67212000000</v>
      </c>
    </row>
    <row r="1396" spans="1:13">
      <c r="A1396" s="4">
        <v>45225</v>
      </c>
      <c r="B1396" s="32"/>
      <c r="C1396" s="32"/>
      <c r="D1396" s="32">
        <v>2292423720.5799999</v>
      </c>
      <c r="E1396" s="33">
        <v>8639076</v>
      </c>
      <c r="F1396" s="32">
        <v>2301062796.5799999</v>
      </c>
      <c r="G1396" s="33">
        <v>84931665</v>
      </c>
      <c r="H1396" s="32"/>
      <c r="I1396" s="32">
        <v>84931665</v>
      </c>
      <c r="J1396" s="32">
        <v>2385994461.5799999</v>
      </c>
      <c r="M1396" s="21">
        <v>70483000000</v>
      </c>
    </row>
    <row r="1397" spans="1:13">
      <c r="A1397" s="4">
        <v>45226</v>
      </c>
      <c r="B1397" s="32"/>
      <c r="C1397" s="32">
        <v>492340483.70999998</v>
      </c>
      <c r="D1397" s="32">
        <v>1608480638.29</v>
      </c>
      <c r="E1397" s="33">
        <v>1165169</v>
      </c>
      <c r="F1397" s="32">
        <v>1609645807.29</v>
      </c>
      <c r="G1397" s="33">
        <v>151457095</v>
      </c>
      <c r="H1397" s="32">
        <v>100000000</v>
      </c>
      <c r="I1397" s="32">
        <v>251457095</v>
      </c>
      <c r="J1397" s="32">
        <v>1861102902.29</v>
      </c>
      <c r="M1397" s="21">
        <v>73848000000</v>
      </c>
    </row>
    <row r="1398" spans="1:13">
      <c r="A1398" s="4">
        <v>45227</v>
      </c>
      <c r="B1398" s="32"/>
      <c r="C1398" s="32"/>
      <c r="D1398" s="32"/>
      <c r="E1398" s="33"/>
      <c r="F1398" s="32" t="s">
        <v>75</v>
      </c>
      <c r="G1398" s="33">
        <v>1598310</v>
      </c>
      <c r="H1398" s="32"/>
      <c r="I1398" s="32">
        <v>1598310</v>
      </c>
      <c r="J1398" s="32">
        <v>1598310</v>
      </c>
      <c r="M1398" s="21">
        <v>73848000000</v>
      </c>
    </row>
    <row r="1399" spans="1:13">
      <c r="A1399" s="4">
        <v>45228</v>
      </c>
      <c r="B1399" s="32"/>
      <c r="C1399" s="32"/>
      <c r="D1399" s="32"/>
      <c r="E1399" s="33"/>
      <c r="F1399" s="32" t="s">
        <v>75</v>
      </c>
      <c r="G1399" s="33">
        <v>25322616</v>
      </c>
      <c r="H1399" s="32"/>
      <c r="I1399" s="32">
        <v>25322616</v>
      </c>
      <c r="J1399" s="32">
        <v>25322616</v>
      </c>
      <c r="M1399" s="21">
        <v>73848000000</v>
      </c>
    </row>
    <row r="1400" spans="1:13">
      <c r="A1400" s="4">
        <v>45229</v>
      </c>
      <c r="B1400" s="32"/>
      <c r="C1400" s="32"/>
      <c r="D1400" s="32">
        <v>3468681779.6799998</v>
      </c>
      <c r="E1400" s="33">
        <v>4235148.3099999996</v>
      </c>
      <c r="F1400" s="32">
        <v>3472916927.9899998</v>
      </c>
      <c r="G1400" s="33">
        <v>186070427</v>
      </c>
      <c r="H1400" s="32"/>
      <c r="I1400" s="32">
        <v>186070427</v>
      </c>
      <c r="J1400" s="32">
        <v>3658987354.9899998</v>
      </c>
      <c r="M1400" s="21">
        <v>77112000000</v>
      </c>
    </row>
    <row r="1401" spans="1:13">
      <c r="A1401" s="4">
        <v>45230</v>
      </c>
      <c r="B1401" s="32"/>
      <c r="C1401" s="32"/>
      <c r="D1401" s="32">
        <v>2125819010.1600001</v>
      </c>
      <c r="E1401" s="33">
        <v>4987388257.7600002</v>
      </c>
      <c r="F1401" s="32">
        <v>7113207267.9200001</v>
      </c>
      <c r="G1401" s="33">
        <v>81870631</v>
      </c>
      <c r="H1401" s="32"/>
      <c r="I1401" s="32">
        <v>81870631</v>
      </c>
      <c r="J1401" s="32">
        <v>7195077898.9200001</v>
      </c>
      <c r="M1401" s="21">
        <v>77121000000</v>
      </c>
    </row>
    <row r="1402" spans="1:13">
      <c r="A1402" s="4">
        <v>45231</v>
      </c>
      <c r="B1402" s="32"/>
      <c r="C1402" s="32"/>
      <c r="D1402" s="32">
        <v>1411689284</v>
      </c>
      <c r="E1402" s="32">
        <v>269697981.18000001</v>
      </c>
      <c r="F1402" s="32">
        <v>1681387265.1800001</v>
      </c>
      <c r="G1402" s="33">
        <v>109901717</v>
      </c>
      <c r="H1402" s="32"/>
      <c r="I1402" s="32">
        <v>109901717</v>
      </c>
      <c r="J1402" s="32">
        <v>1791288982.1800001</v>
      </c>
      <c r="M1402" s="21">
        <v>3661000000</v>
      </c>
    </row>
    <row r="1403" spans="1:13">
      <c r="A1403" s="4">
        <v>45232</v>
      </c>
      <c r="B1403" s="32"/>
      <c r="C1403" s="32"/>
      <c r="D1403" s="32">
        <v>7722588569.1800003</v>
      </c>
      <c r="E1403" s="32"/>
      <c r="F1403" s="32">
        <v>7722588569.1800003</v>
      </c>
      <c r="G1403" s="33">
        <v>85950604</v>
      </c>
      <c r="H1403" s="32"/>
      <c r="I1403" s="32">
        <v>85950604</v>
      </c>
      <c r="J1403" s="32">
        <v>7808539173.1800003</v>
      </c>
      <c r="M1403" s="21">
        <v>7312000000</v>
      </c>
    </row>
    <row r="1404" spans="1:13">
      <c r="A1404" s="4">
        <v>45233</v>
      </c>
      <c r="B1404" s="32"/>
      <c r="C1404" s="32"/>
      <c r="D1404" s="32">
        <v>4066213918</v>
      </c>
      <c r="E1404" s="32"/>
      <c r="F1404" s="32">
        <v>4066213918</v>
      </c>
      <c r="G1404" s="33">
        <v>95234719</v>
      </c>
      <c r="H1404" s="32">
        <v>100000000</v>
      </c>
      <c r="I1404" s="32">
        <v>195234719</v>
      </c>
      <c r="J1404" s="32">
        <v>4261448637</v>
      </c>
      <c r="M1404" s="21">
        <v>11053000000</v>
      </c>
    </row>
    <row r="1405" spans="1:13">
      <c r="A1405" s="4">
        <v>45234</v>
      </c>
      <c r="B1405" s="32"/>
      <c r="C1405" s="32"/>
      <c r="D1405" s="32"/>
      <c r="E1405" s="32"/>
      <c r="F1405" s="32" t="s">
        <v>75</v>
      </c>
      <c r="G1405" s="33">
        <v>13580083</v>
      </c>
      <c r="H1405" s="32"/>
      <c r="I1405" s="32">
        <v>13580083</v>
      </c>
      <c r="J1405" s="32">
        <v>13580083</v>
      </c>
      <c r="M1405" s="21">
        <v>11053000000</v>
      </c>
    </row>
    <row r="1406" spans="1:13">
      <c r="A1406" s="4">
        <v>45235</v>
      </c>
      <c r="B1406" s="32"/>
      <c r="C1406" s="32"/>
      <c r="D1406" s="32"/>
      <c r="E1406" s="32"/>
      <c r="F1406" s="32" t="s">
        <v>75</v>
      </c>
      <c r="G1406" s="33"/>
      <c r="H1406" s="32"/>
      <c r="I1406" s="32" t="s">
        <v>75</v>
      </c>
      <c r="J1406" s="32" t="s">
        <v>76</v>
      </c>
      <c r="M1406" s="21">
        <v>11053000000</v>
      </c>
    </row>
    <row r="1407" spans="1:13">
      <c r="A1407" s="4">
        <v>45236</v>
      </c>
      <c r="B1407" s="32"/>
      <c r="C1407" s="32"/>
      <c r="D1407" s="32">
        <v>5846548089</v>
      </c>
      <c r="E1407" s="32"/>
      <c r="F1407" s="32">
        <v>5846548089</v>
      </c>
      <c r="G1407" s="33">
        <v>173742102</v>
      </c>
      <c r="H1407" s="32">
        <v>9075808140</v>
      </c>
      <c r="I1407" s="32">
        <v>9249550242</v>
      </c>
      <c r="J1407" s="32">
        <v>15096098331</v>
      </c>
      <c r="M1407" s="21">
        <v>14691000000</v>
      </c>
    </row>
    <row r="1408" spans="1:13">
      <c r="A1408" s="4">
        <v>45237</v>
      </c>
      <c r="B1408" s="32"/>
      <c r="C1408" s="32"/>
      <c r="D1408" s="32">
        <v>2792135976</v>
      </c>
      <c r="E1408" s="32"/>
      <c r="F1408" s="32">
        <v>2792135976</v>
      </c>
      <c r="G1408" s="33">
        <v>985237749</v>
      </c>
      <c r="H1408" s="32"/>
      <c r="I1408" s="32">
        <v>985237749</v>
      </c>
      <c r="J1408" s="32">
        <v>3777373725</v>
      </c>
      <c r="M1408" s="21">
        <v>18339000000</v>
      </c>
    </row>
    <row r="1409" spans="1:13">
      <c r="A1409" s="4">
        <v>45238</v>
      </c>
      <c r="B1409" s="32"/>
      <c r="C1409" s="32"/>
      <c r="D1409" s="32">
        <v>2839865621.3400002</v>
      </c>
      <c r="E1409" s="32"/>
      <c r="F1409" s="32">
        <v>2839865621.3400002</v>
      </c>
      <c r="G1409" s="33">
        <v>194925197</v>
      </c>
      <c r="H1409" s="32"/>
      <c r="I1409" s="32">
        <v>194925197</v>
      </c>
      <c r="J1409" s="32">
        <v>3034790818.3400002</v>
      </c>
      <c r="M1409" s="21">
        <v>32196000000</v>
      </c>
    </row>
    <row r="1410" spans="1:13">
      <c r="A1410" s="4">
        <v>45239</v>
      </c>
      <c r="B1410" s="32"/>
      <c r="C1410" s="32"/>
      <c r="D1410" s="32">
        <v>2726060688.5</v>
      </c>
      <c r="E1410" s="32"/>
      <c r="F1410" s="32">
        <v>2726060688.5</v>
      </c>
      <c r="G1410" s="33">
        <v>173618731</v>
      </c>
      <c r="H1410" s="32"/>
      <c r="I1410" s="32">
        <v>173618731</v>
      </c>
      <c r="J1410" s="32">
        <v>2899679419.5</v>
      </c>
      <c r="M1410" s="21">
        <v>35844000000</v>
      </c>
    </row>
    <row r="1411" spans="1:13">
      <c r="A1411" s="4">
        <v>45240</v>
      </c>
      <c r="B1411" s="32"/>
      <c r="C1411" s="32"/>
      <c r="D1411" s="32">
        <v>8631561866</v>
      </c>
      <c r="E1411" s="32">
        <v>1695100</v>
      </c>
      <c r="F1411" s="32">
        <v>8633256966</v>
      </c>
      <c r="G1411" s="33">
        <v>120276863</v>
      </c>
      <c r="H1411" s="32">
        <v>100000000</v>
      </c>
      <c r="I1411" s="32">
        <v>220276863</v>
      </c>
      <c r="J1411" s="32">
        <v>8853533829</v>
      </c>
      <c r="M1411" s="21">
        <v>39482000000</v>
      </c>
    </row>
    <row r="1412" spans="1:13">
      <c r="A1412" s="4">
        <v>45241</v>
      </c>
      <c r="B1412" s="32"/>
      <c r="C1412" s="32"/>
      <c r="D1412" s="32"/>
      <c r="E1412" s="32"/>
      <c r="F1412" s="32" t="s">
        <v>75</v>
      </c>
      <c r="G1412" s="33">
        <v>929644</v>
      </c>
      <c r="H1412" s="32"/>
      <c r="I1412" s="32">
        <v>929644</v>
      </c>
      <c r="J1412" s="32">
        <v>929644</v>
      </c>
      <c r="M1412" s="21">
        <v>39482000000</v>
      </c>
    </row>
    <row r="1413" spans="1:13">
      <c r="A1413" s="4">
        <v>45242</v>
      </c>
      <c r="B1413" s="32"/>
      <c r="C1413" s="32"/>
      <c r="D1413" s="32"/>
      <c r="E1413" s="32"/>
      <c r="F1413" s="32" t="s">
        <v>75</v>
      </c>
      <c r="G1413" s="33">
        <v>22021990</v>
      </c>
      <c r="H1413" s="32"/>
      <c r="I1413" s="32">
        <v>22021990</v>
      </c>
      <c r="J1413" s="32">
        <v>22021990</v>
      </c>
      <c r="M1413" s="21">
        <v>39482000000</v>
      </c>
    </row>
    <row r="1414" spans="1:13">
      <c r="A1414" s="4">
        <v>45243</v>
      </c>
      <c r="B1414" s="32"/>
      <c r="C1414" s="32"/>
      <c r="D1414" s="32">
        <v>2947581138</v>
      </c>
      <c r="E1414" s="32"/>
      <c r="F1414" s="32">
        <v>2947581138</v>
      </c>
      <c r="G1414" s="33">
        <v>243534419</v>
      </c>
      <c r="H1414" s="32"/>
      <c r="I1414" s="32">
        <v>243534419</v>
      </c>
      <c r="J1414" s="32">
        <v>3191115557</v>
      </c>
      <c r="M1414" s="21">
        <v>43122000000</v>
      </c>
    </row>
    <row r="1415" spans="1:13">
      <c r="A1415" s="4">
        <v>45244</v>
      </c>
      <c r="B1415" s="32"/>
      <c r="C1415" s="32"/>
      <c r="D1415" s="32">
        <v>3004701414</v>
      </c>
      <c r="E1415" s="32"/>
      <c r="F1415" s="32">
        <v>3004701414</v>
      </c>
      <c r="G1415" s="33">
        <v>263676031</v>
      </c>
      <c r="H1415" s="32"/>
      <c r="I1415" s="32">
        <v>263676031</v>
      </c>
      <c r="J1415" s="32">
        <v>3268377445</v>
      </c>
      <c r="M1415" s="21">
        <v>46772000000</v>
      </c>
    </row>
    <row r="1416" spans="1:13">
      <c r="A1416" s="4">
        <v>45245</v>
      </c>
      <c r="B1416" s="32"/>
      <c r="C1416" s="32"/>
      <c r="D1416" s="32">
        <v>3483640822</v>
      </c>
      <c r="E1416" s="32"/>
      <c r="F1416" s="32">
        <v>3483640822</v>
      </c>
      <c r="G1416" s="33">
        <v>40473104</v>
      </c>
      <c r="H1416" s="32"/>
      <c r="I1416" s="32">
        <v>40473104</v>
      </c>
      <c r="J1416" s="32">
        <v>3524113926</v>
      </c>
      <c r="M1416" s="21">
        <v>50431000000</v>
      </c>
    </row>
    <row r="1417" spans="1:13">
      <c r="A1417" s="4">
        <v>45246</v>
      </c>
      <c r="B1417" s="32"/>
      <c r="C1417" s="32"/>
      <c r="D1417" s="32">
        <v>3039875688.5</v>
      </c>
      <c r="E1417" s="32"/>
      <c r="F1417" s="32">
        <v>3039875688.5</v>
      </c>
      <c r="G1417" s="33">
        <v>902641992</v>
      </c>
      <c r="H1417" s="32"/>
      <c r="I1417" s="32">
        <v>902641992</v>
      </c>
      <c r="J1417" s="32">
        <v>3942517680.5</v>
      </c>
      <c r="M1417" s="21">
        <v>54081000000</v>
      </c>
    </row>
    <row r="1418" spans="1:13">
      <c r="A1418" s="4">
        <v>45247</v>
      </c>
      <c r="B1418" s="32"/>
      <c r="C1418" s="32"/>
      <c r="D1418" s="32">
        <v>2238092472.7399998</v>
      </c>
      <c r="E1418" s="32">
        <v>1100</v>
      </c>
      <c r="F1418" s="32">
        <v>2238093572.7399998</v>
      </c>
      <c r="G1418" s="33">
        <v>233365269</v>
      </c>
      <c r="H1418" s="32">
        <v>100000000</v>
      </c>
      <c r="I1418" s="32">
        <v>333365269</v>
      </c>
      <c r="J1418" s="32">
        <v>2571458841.7399998</v>
      </c>
      <c r="M1418" s="21">
        <v>57820000000</v>
      </c>
    </row>
    <row r="1419" spans="1:13">
      <c r="A1419" s="4">
        <v>45248</v>
      </c>
      <c r="B1419" s="32"/>
      <c r="C1419" s="32"/>
      <c r="D1419" s="32"/>
      <c r="E1419" s="32"/>
      <c r="F1419" s="32" t="s">
        <v>75</v>
      </c>
      <c r="G1419" s="33">
        <v>50079706</v>
      </c>
      <c r="H1419" s="32"/>
      <c r="I1419" s="32">
        <v>50079706</v>
      </c>
      <c r="J1419" s="32">
        <v>50079706</v>
      </c>
      <c r="M1419" s="21">
        <v>57820000000</v>
      </c>
    </row>
    <row r="1420" spans="1:13">
      <c r="A1420" s="4">
        <v>45249</v>
      </c>
      <c r="B1420" s="32"/>
      <c r="C1420" s="32"/>
      <c r="D1420" s="32"/>
      <c r="E1420" s="32"/>
      <c r="F1420" s="32" t="s">
        <v>75</v>
      </c>
      <c r="G1420" s="33">
        <v>11550340</v>
      </c>
      <c r="H1420" s="32"/>
      <c r="I1420" s="32">
        <v>11550340</v>
      </c>
      <c r="J1420" s="32">
        <v>11550340</v>
      </c>
      <c r="M1420" s="21">
        <v>57820000000</v>
      </c>
    </row>
    <row r="1421" spans="1:13">
      <c r="A1421" s="4">
        <v>45250</v>
      </c>
      <c r="B1421" s="32"/>
      <c r="C1421" s="32"/>
      <c r="D1421" s="32">
        <v>6439533184</v>
      </c>
      <c r="E1421" s="32"/>
      <c r="F1421" s="32">
        <v>6439533184</v>
      </c>
      <c r="G1421" s="33">
        <v>179631531</v>
      </c>
      <c r="H1421" s="32"/>
      <c r="I1421" s="32">
        <v>179631531</v>
      </c>
      <c r="J1421" s="32">
        <v>6619164715</v>
      </c>
      <c r="M1421" s="21">
        <v>61459000000</v>
      </c>
    </row>
    <row r="1422" spans="1:13">
      <c r="A1422" s="4">
        <v>45251</v>
      </c>
      <c r="B1422" s="32"/>
      <c r="C1422" s="32"/>
      <c r="D1422" s="32">
        <v>3061329578</v>
      </c>
      <c r="E1422" s="32"/>
      <c r="F1422" s="32">
        <v>3061329578</v>
      </c>
      <c r="G1422" s="33">
        <v>275521860</v>
      </c>
      <c r="H1422" s="32"/>
      <c r="I1422" s="32">
        <v>275521860</v>
      </c>
      <c r="J1422" s="32">
        <v>3336851438</v>
      </c>
      <c r="M1422" s="21">
        <v>65109000000</v>
      </c>
    </row>
    <row r="1423" spans="1:13">
      <c r="A1423" s="4">
        <v>45252</v>
      </c>
      <c r="B1423" s="32"/>
      <c r="C1423" s="32"/>
      <c r="D1423" s="32">
        <v>2948927266.5</v>
      </c>
      <c r="E1423" s="32"/>
      <c r="F1423" s="32">
        <v>2948927266.5</v>
      </c>
      <c r="G1423" s="33">
        <v>254610012</v>
      </c>
      <c r="H1423" s="32"/>
      <c r="I1423" s="32">
        <v>254610012</v>
      </c>
      <c r="J1423" s="32">
        <v>3203537278.5</v>
      </c>
      <c r="M1423" s="21">
        <v>68769000000</v>
      </c>
    </row>
    <row r="1424" spans="1:13">
      <c r="A1424" s="4">
        <v>45253</v>
      </c>
      <c r="B1424" s="32"/>
      <c r="C1424" s="32"/>
      <c r="D1424" s="32">
        <v>2763391559</v>
      </c>
      <c r="E1424" s="32">
        <v>5166720</v>
      </c>
      <c r="F1424" s="32">
        <v>2768558279</v>
      </c>
      <c r="G1424" s="33">
        <v>130722266</v>
      </c>
      <c r="H1424" s="32"/>
      <c r="I1424" s="32">
        <v>130722266</v>
      </c>
      <c r="J1424" s="32">
        <v>2899280545</v>
      </c>
      <c r="M1424" s="21">
        <v>72420000000</v>
      </c>
    </row>
    <row r="1425" spans="1:13">
      <c r="A1425" s="4">
        <v>45254</v>
      </c>
      <c r="B1425" s="32"/>
      <c r="C1425" s="32"/>
      <c r="D1425" s="32">
        <v>2879050190</v>
      </c>
      <c r="E1425" s="32"/>
      <c r="F1425" s="32">
        <v>2879050190</v>
      </c>
      <c r="G1425" s="33">
        <v>940329456.34000003</v>
      </c>
      <c r="H1425" s="32">
        <v>100000000</v>
      </c>
      <c r="I1425" s="32">
        <v>1040329456.34</v>
      </c>
      <c r="J1425" s="32">
        <v>3919379646.3400002</v>
      </c>
      <c r="M1425" s="21">
        <v>76161000000</v>
      </c>
    </row>
    <row r="1426" spans="1:13">
      <c r="A1426" s="4">
        <v>45255</v>
      </c>
      <c r="B1426" s="32"/>
      <c r="C1426" s="32"/>
      <c r="D1426" s="32"/>
      <c r="E1426" s="32"/>
      <c r="F1426" s="32" t="s">
        <v>75</v>
      </c>
      <c r="G1426" s="33">
        <v>1446660</v>
      </c>
      <c r="H1426" s="32"/>
      <c r="I1426" s="32">
        <v>1446660</v>
      </c>
      <c r="J1426" s="32">
        <v>1446660</v>
      </c>
      <c r="M1426" s="21">
        <v>76161000000</v>
      </c>
    </row>
    <row r="1427" spans="1:13">
      <c r="A1427" s="4">
        <v>45256</v>
      </c>
      <c r="B1427" s="32"/>
      <c r="C1427" s="32"/>
      <c r="D1427" s="32"/>
      <c r="E1427" s="32"/>
      <c r="F1427" s="32" t="s">
        <v>75</v>
      </c>
      <c r="G1427" s="33">
        <v>29009968</v>
      </c>
      <c r="H1427" s="32"/>
      <c r="I1427" s="32">
        <v>29009968</v>
      </c>
      <c r="J1427" s="32">
        <v>29009968</v>
      </c>
      <c r="M1427" s="21">
        <v>76161000000</v>
      </c>
    </row>
    <row r="1428" spans="1:13">
      <c r="A1428" s="4">
        <v>45257</v>
      </c>
      <c r="B1428" s="32"/>
      <c r="C1428" s="32"/>
      <c r="D1428" s="32">
        <v>2988066891.4000001</v>
      </c>
      <c r="E1428" s="32"/>
      <c r="F1428" s="32">
        <v>2988066891.4000001</v>
      </c>
      <c r="G1428" s="33">
        <v>152390328</v>
      </c>
      <c r="H1428" s="32"/>
      <c r="I1428" s="32">
        <v>152390328</v>
      </c>
      <c r="J1428" s="32">
        <v>3140457219.4000001</v>
      </c>
      <c r="M1428" s="21">
        <v>79802000000</v>
      </c>
    </row>
    <row r="1429" spans="1:13">
      <c r="A1429" s="4">
        <v>45258</v>
      </c>
      <c r="B1429" s="32"/>
      <c r="C1429" s="32">
        <v>702795075.01999998</v>
      </c>
      <c r="D1429" s="32">
        <v>2441416372.98</v>
      </c>
      <c r="E1429" s="32"/>
      <c r="F1429" s="32">
        <v>2441416372.98</v>
      </c>
      <c r="G1429" s="33">
        <v>233886986</v>
      </c>
      <c r="H1429" s="32"/>
      <c r="I1429" s="32">
        <v>233886986</v>
      </c>
      <c r="J1429" s="32">
        <v>2675303358.98</v>
      </c>
      <c r="M1429" s="21">
        <v>83451000000</v>
      </c>
    </row>
    <row r="1430" spans="1:13">
      <c r="A1430" s="4">
        <v>45259</v>
      </c>
      <c r="B1430" s="32"/>
      <c r="C1430" s="32"/>
      <c r="D1430" s="32">
        <v>3304724102.5799999</v>
      </c>
      <c r="E1430" s="32">
        <v>2484000</v>
      </c>
      <c r="F1430" s="32">
        <v>3307208102.5799999</v>
      </c>
      <c r="G1430" s="33">
        <v>176122147</v>
      </c>
      <c r="H1430" s="32"/>
      <c r="I1430" s="32">
        <v>176122147</v>
      </c>
      <c r="J1430" s="32">
        <v>3483330249.5799999</v>
      </c>
      <c r="M1430" s="21">
        <v>87110000000</v>
      </c>
    </row>
    <row r="1431" spans="1:13">
      <c r="A1431" s="4">
        <v>45260</v>
      </c>
      <c r="B1431" s="32"/>
      <c r="C1431" s="32"/>
      <c r="D1431" s="32">
        <v>2598554728.25</v>
      </c>
      <c r="E1431" s="32"/>
      <c r="F1431" s="32">
        <v>2598554728.25</v>
      </c>
      <c r="G1431" s="33">
        <v>155593897</v>
      </c>
      <c r="H1431" s="32"/>
      <c r="I1431" s="32">
        <v>155593897</v>
      </c>
      <c r="J1431" s="32">
        <v>2754148625.25</v>
      </c>
      <c r="M1431" s="21">
        <v>90756000000</v>
      </c>
    </row>
    <row r="1432" spans="1:13">
      <c r="A1432" s="4">
        <v>45261</v>
      </c>
      <c r="B1432" s="32"/>
      <c r="C1432" s="32"/>
      <c r="D1432" s="32">
        <v>4663132643</v>
      </c>
      <c r="E1432" s="33">
        <v>4240855129</v>
      </c>
      <c r="F1432" s="32">
        <v>8903987772</v>
      </c>
      <c r="G1432" s="33">
        <v>287716999</v>
      </c>
      <c r="H1432" s="32">
        <v>100000000</v>
      </c>
      <c r="I1432" s="32">
        <v>387716999</v>
      </c>
      <c r="J1432" s="32">
        <v>9291704771</v>
      </c>
      <c r="M1432" s="21">
        <v>4398000000</v>
      </c>
    </row>
    <row r="1433" spans="1:13">
      <c r="A1433" s="4">
        <v>45262</v>
      </c>
      <c r="B1433" s="32"/>
      <c r="C1433" s="32"/>
      <c r="D1433" s="32"/>
      <c r="E1433" s="33"/>
      <c r="F1433" s="32" t="s">
        <v>75</v>
      </c>
      <c r="G1433" s="33">
        <v>371259</v>
      </c>
      <c r="H1433" s="32"/>
      <c r="I1433" s="32">
        <v>371259</v>
      </c>
      <c r="J1433" s="32">
        <v>371259</v>
      </c>
      <c r="M1433" s="21">
        <v>4398000000</v>
      </c>
    </row>
    <row r="1434" spans="1:13">
      <c r="A1434" s="4">
        <v>45263</v>
      </c>
      <c r="B1434" s="32"/>
      <c r="C1434" s="32"/>
      <c r="D1434" s="32"/>
      <c r="E1434" s="33"/>
      <c r="F1434" s="32" t="s">
        <v>75</v>
      </c>
      <c r="G1434" s="33">
        <v>18700</v>
      </c>
      <c r="H1434" s="32"/>
      <c r="I1434" s="32">
        <v>18700</v>
      </c>
      <c r="J1434" s="32">
        <v>18700</v>
      </c>
      <c r="M1434" s="21">
        <v>4398000000</v>
      </c>
    </row>
    <row r="1435" spans="1:13">
      <c r="A1435" s="4">
        <v>45264</v>
      </c>
      <c r="B1435" s="32"/>
      <c r="C1435" s="32"/>
      <c r="D1435" s="32">
        <v>3455374575</v>
      </c>
      <c r="E1435" s="33"/>
      <c r="F1435" s="32">
        <v>3455374575</v>
      </c>
      <c r="G1435" s="33">
        <v>114263633</v>
      </c>
      <c r="H1435" s="32"/>
      <c r="I1435" s="32">
        <v>114263633</v>
      </c>
      <c r="J1435" s="32">
        <v>3569638208</v>
      </c>
      <c r="M1435" s="21">
        <v>8700000000</v>
      </c>
    </row>
    <row r="1436" spans="1:13">
      <c r="A1436" s="4">
        <v>45265</v>
      </c>
      <c r="B1436" s="32"/>
      <c r="C1436" s="32"/>
      <c r="D1436" s="32">
        <v>5594919416.5</v>
      </c>
      <c r="E1436" s="33"/>
      <c r="F1436" s="32">
        <v>5594919416.5</v>
      </c>
      <c r="G1436" s="33">
        <v>295644936</v>
      </c>
      <c r="H1436" s="32"/>
      <c r="I1436" s="32">
        <v>295644936</v>
      </c>
      <c r="J1436" s="32">
        <v>5890564352.5</v>
      </c>
      <c r="M1436" s="21">
        <v>13017000000</v>
      </c>
    </row>
    <row r="1437" spans="1:13">
      <c r="A1437" s="4">
        <v>45266</v>
      </c>
      <c r="B1437" s="32"/>
      <c r="C1437" s="32"/>
      <c r="D1437" s="32">
        <v>2838769919</v>
      </c>
      <c r="E1437" s="33">
        <v>564600</v>
      </c>
      <c r="F1437" s="32">
        <v>2839334519</v>
      </c>
      <c r="G1437" s="33">
        <v>252448929</v>
      </c>
      <c r="H1437" s="32">
        <v>9101597488</v>
      </c>
      <c r="I1437" s="32">
        <v>9354046417</v>
      </c>
      <c r="J1437" s="32">
        <v>12193380936</v>
      </c>
      <c r="M1437" s="21">
        <v>17349000000</v>
      </c>
    </row>
    <row r="1438" spans="1:13">
      <c r="A1438" s="4">
        <v>45267</v>
      </c>
      <c r="B1438" s="32"/>
      <c r="C1438" s="32"/>
      <c r="D1438" s="32">
        <v>2505007077</v>
      </c>
      <c r="E1438" s="33"/>
      <c r="F1438" s="32">
        <v>2505007077</v>
      </c>
      <c r="G1438" s="33">
        <v>193731237</v>
      </c>
      <c r="H1438" s="32"/>
      <c r="I1438" s="32">
        <v>193731237</v>
      </c>
      <c r="J1438" s="32">
        <v>2698738314</v>
      </c>
      <c r="M1438" s="21">
        <v>21667000000</v>
      </c>
    </row>
    <row r="1439" spans="1:13">
      <c r="A1439" s="4">
        <v>45268</v>
      </c>
      <c r="B1439" s="32"/>
      <c r="C1439" s="32"/>
      <c r="D1439" s="32">
        <v>3003548455</v>
      </c>
      <c r="E1439" s="33">
        <v>9400.5</v>
      </c>
      <c r="F1439" s="32">
        <v>3003557855.5</v>
      </c>
      <c r="G1439" s="33">
        <v>123657103</v>
      </c>
      <c r="H1439" s="32">
        <v>100000000</v>
      </c>
      <c r="I1439" s="32">
        <v>223657103</v>
      </c>
      <c r="J1439" s="32">
        <v>3227214958.5</v>
      </c>
      <c r="M1439" s="21">
        <v>35367000000</v>
      </c>
    </row>
    <row r="1440" spans="1:13">
      <c r="A1440" s="4">
        <v>45269</v>
      </c>
      <c r="B1440" s="32"/>
      <c r="C1440" s="32"/>
      <c r="D1440" s="32"/>
      <c r="E1440" s="33"/>
      <c r="F1440" s="32" t="s">
        <v>75</v>
      </c>
      <c r="G1440" s="33">
        <v>2980100</v>
      </c>
      <c r="H1440" s="32"/>
      <c r="I1440" s="32">
        <v>2980100</v>
      </c>
      <c r="J1440" s="32">
        <v>2980100</v>
      </c>
      <c r="M1440" s="21">
        <v>35367000000</v>
      </c>
    </row>
    <row r="1441" spans="1:13">
      <c r="A1441" s="4">
        <v>45270</v>
      </c>
      <c r="B1441" s="32"/>
      <c r="C1441" s="32"/>
      <c r="D1441" s="32"/>
      <c r="E1441" s="33"/>
      <c r="F1441" s="32" t="s">
        <v>75</v>
      </c>
      <c r="G1441" s="33"/>
      <c r="H1441" s="32"/>
      <c r="I1441" s="32" t="s">
        <v>46</v>
      </c>
      <c r="J1441" s="32" t="s">
        <v>46</v>
      </c>
      <c r="M1441" s="21">
        <v>35367000000</v>
      </c>
    </row>
    <row r="1442" spans="1:13">
      <c r="A1442" s="4">
        <v>45271</v>
      </c>
      <c r="B1442" s="32"/>
      <c r="C1442" s="32"/>
      <c r="D1442" s="32">
        <v>2384707328</v>
      </c>
      <c r="E1442" s="33"/>
      <c r="F1442" s="32">
        <v>2384707328</v>
      </c>
      <c r="G1442" s="33">
        <v>129385363</v>
      </c>
      <c r="H1442" s="32"/>
      <c r="I1442" s="32">
        <v>129385363</v>
      </c>
      <c r="J1442" s="32">
        <v>2514092691</v>
      </c>
      <c r="M1442" s="21">
        <v>39670000000</v>
      </c>
    </row>
    <row r="1443" spans="1:13">
      <c r="A1443" s="4">
        <v>45272</v>
      </c>
      <c r="B1443" s="32"/>
      <c r="C1443" s="32"/>
      <c r="D1443" s="32">
        <v>2737302402</v>
      </c>
      <c r="E1443" s="33"/>
      <c r="F1443" s="32">
        <v>2737302402</v>
      </c>
      <c r="G1443" s="33">
        <v>109757321</v>
      </c>
      <c r="H1443" s="32"/>
      <c r="I1443" s="32">
        <v>109757321</v>
      </c>
      <c r="J1443" s="32">
        <v>2847059723</v>
      </c>
      <c r="M1443" s="21">
        <v>43987000000</v>
      </c>
    </row>
    <row r="1444" spans="1:13">
      <c r="A1444" s="4">
        <v>45273</v>
      </c>
      <c r="B1444" s="32"/>
      <c r="C1444" s="32"/>
      <c r="D1444" s="32">
        <v>2690405062</v>
      </c>
      <c r="E1444" s="33"/>
      <c r="F1444" s="32">
        <v>2690405062</v>
      </c>
      <c r="G1444" s="33">
        <v>132882649</v>
      </c>
      <c r="H1444" s="32"/>
      <c r="I1444" s="32">
        <v>132882649</v>
      </c>
      <c r="J1444" s="32">
        <v>2823287711</v>
      </c>
      <c r="M1444" s="21">
        <v>48318000000</v>
      </c>
    </row>
    <row r="1445" spans="1:13">
      <c r="A1445" s="4">
        <v>45274</v>
      </c>
      <c r="B1445" s="32"/>
      <c r="C1445" s="32"/>
      <c r="D1445" s="32">
        <v>2525626833</v>
      </c>
      <c r="E1445" s="33"/>
      <c r="F1445" s="32">
        <v>2525626833</v>
      </c>
      <c r="G1445" s="33">
        <v>176971216</v>
      </c>
      <c r="H1445" s="32"/>
      <c r="I1445" s="32">
        <v>176971216</v>
      </c>
      <c r="J1445" s="32">
        <v>2702598049</v>
      </c>
      <c r="M1445" s="21">
        <v>52636000000</v>
      </c>
    </row>
    <row r="1446" spans="1:13">
      <c r="A1446" s="4">
        <v>45275</v>
      </c>
      <c r="B1446" s="32"/>
      <c r="C1446" s="32"/>
      <c r="D1446" s="32">
        <v>6576049249.6999998</v>
      </c>
      <c r="E1446" s="33">
        <v>78180</v>
      </c>
      <c r="F1446" s="32">
        <v>6576127429.6999998</v>
      </c>
      <c r="G1446" s="33">
        <v>172486363</v>
      </c>
      <c r="H1446" s="32">
        <v>100000000</v>
      </c>
      <c r="I1446" s="32">
        <v>272486363</v>
      </c>
      <c r="J1446" s="32">
        <v>6848613792.6999998</v>
      </c>
      <c r="M1446" s="21">
        <v>57038000000</v>
      </c>
    </row>
    <row r="1447" spans="1:13">
      <c r="A1447" s="4">
        <v>45276</v>
      </c>
      <c r="B1447" s="32"/>
      <c r="C1447" s="32"/>
      <c r="D1447" s="32"/>
      <c r="E1447" s="33"/>
      <c r="F1447" s="32" t="s">
        <v>75</v>
      </c>
      <c r="G1447" s="33">
        <v>1384250</v>
      </c>
      <c r="H1447" s="32"/>
      <c r="I1447" s="32">
        <v>1384250</v>
      </c>
      <c r="J1447" s="32">
        <v>1384250</v>
      </c>
      <c r="M1447" s="21">
        <v>57038000000</v>
      </c>
    </row>
    <row r="1448" spans="1:13">
      <c r="A1448" s="4">
        <v>45277</v>
      </c>
      <c r="B1448" s="32"/>
      <c r="C1448" s="32"/>
      <c r="D1448" s="32"/>
      <c r="E1448" s="33"/>
      <c r="F1448" s="32" t="s">
        <v>75</v>
      </c>
      <c r="G1448" s="33"/>
      <c r="H1448" s="32"/>
      <c r="I1448" s="32" t="s">
        <v>46</v>
      </c>
      <c r="J1448" s="32" t="s">
        <v>46</v>
      </c>
      <c r="M1448" s="21">
        <v>57038000000</v>
      </c>
    </row>
    <row r="1449" spans="1:13">
      <c r="A1449" s="4">
        <v>45278</v>
      </c>
      <c r="B1449" s="32"/>
      <c r="C1449" s="32"/>
      <c r="D1449" s="32">
        <v>3324450798.3600001</v>
      </c>
      <c r="E1449" s="33"/>
      <c r="F1449" s="32">
        <v>3324450798.3600001</v>
      </c>
      <c r="G1449" s="33">
        <v>175262607</v>
      </c>
      <c r="H1449" s="32"/>
      <c r="I1449" s="32">
        <v>175262607</v>
      </c>
      <c r="J1449" s="32">
        <v>3499713405.3600001</v>
      </c>
      <c r="M1449" s="21">
        <v>61339000000</v>
      </c>
    </row>
    <row r="1450" spans="1:13">
      <c r="A1450" s="4">
        <v>45279</v>
      </c>
      <c r="B1450" s="32"/>
      <c r="C1450" s="32"/>
      <c r="D1450" s="32">
        <v>4005431361</v>
      </c>
      <c r="E1450" s="33">
        <v>1722240</v>
      </c>
      <c r="F1450" s="32">
        <v>4007153601</v>
      </c>
      <c r="G1450" s="33">
        <v>743676530</v>
      </c>
      <c r="H1450" s="32"/>
      <c r="I1450" s="32">
        <v>743676530</v>
      </c>
      <c r="J1450" s="32">
        <v>4750830131</v>
      </c>
      <c r="M1450" s="21">
        <v>65656000000</v>
      </c>
    </row>
    <row r="1451" spans="1:13">
      <c r="A1451" s="4">
        <v>45280</v>
      </c>
      <c r="B1451" s="32"/>
      <c r="C1451" s="32"/>
      <c r="D1451" s="32">
        <v>7889518941</v>
      </c>
      <c r="E1451" s="33">
        <v>3496000</v>
      </c>
      <c r="F1451" s="32">
        <v>7893014941</v>
      </c>
      <c r="G1451" s="33">
        <v>174825712</v>
      </c>
      <c r="H1451" s="32"/>
      <c r="I1451" s="32">
        <v>174825712</v>
      </c>
      <c r="J1451" s="32">
        <v>8067840653</v>
      </c>
      <c r="M1451" s="21">
        <v>69988000000</v>
      </c>
    </row>
    <row r="1452" spans="1:13">
      <c r="A1452" s="4">
        <v>45281</v>
      </c>
      <c r="B1452" s="32"/>
      <c r="C1452" s="32"/>
      <c r="D1452" s="32">
        <v>3132473823</v>
      </c>
      <c r="E1452" s="33"/>
      <c r="F1452" s="32">
        <v>3132473823</v>
      </c>
      <c r="G1452" s="33">
        <v>180558638</v>
      </c>
      <c r="H1452" s="32"/>
      <c r="I1452" s="32">
        <v>180558638</v>
      </c>
      <c r="J1452" s="32">
        <v>3313032461</v>
      </c>
      <c r="M1452" s="21">
        <v>74306000000</v>
      </c>
    </row>
    <row r="1453" spans="1:13">
      <c r="A1453" s="4">
        <v>45282</v>
      </c>
      <c r="B1453" s="32"/>
      <c r="C1453" s="32">
        <v>741555703.13999999</v>
      </c>
      <c r="D1453" s="32">
        <v>6127521605.8599997</v>
      </c>
      <c r="E1453" s="33"/>
      <c r="F1453" s="32">
        <v>6127521605.8599997</v>
      </c>
      <c r="G1453" s="33">
        <v>205800381</v>
      </c>
      <c r="H1453" s="32">
        <v>100000000</v>
      </c>
      <c r="I1453" s="32">
        <v>305800381</v>
      </c>
      <c r="J1453" s="32">
        <v>6433321986.8599997</v>
      </c>
      <c r="M1453" s="21">
        <v>78708000000</v>
      </c>
    </row>
    <row r="1454" spans="1:13">
      <c r="A1454" s="4">
        <v>45283</v>
      </c>
      <c r="B1454" s="32"/>
      <c r="C1454" s="32"/>
      <c r="D1454" s="32"/>
      <c r="E1454" s="33"/>
      <c r="F1454" s="32" t="s">
        <v>75</v>
      </c>
      <c r="G1454" s="33">
        <v>29931756</v>
      </c>
      <c r="H1454" s="32"/>
      <c r="I1454" s="32">
        <v>29931756</v>
      </c>
      <c r="J1454" s="32">
        <v>29931756</v>
      </c>
      <c r="M1454" s="21">
        <v>78708000000</v>
      </c>
    </row>
    <row r="1455" spans="1:13">
      <c r="A1455" s="4">
        <v>45284</v>
      </c>
      <c r="B1455" s="32"/>
      <c r="C1455" s="32"/>
      <c r="D1455" s="32"/>
      <c r="E1455" s="33"/>
      <c r="F1455" s="32" t="s">
        <v>75</v>
      </c>
      <c r="G1455" s="33">
        <v>14300</v>
      </c>
      <c r="H1455" s="32"/>
      <c r="I1455" s="32">
        <v>14300</v>
      </c>
      <c r="J1455" s="32">
        <v>14300</v>
      </c>
      <c r="M1455" s="21">
        <v>78708000000</v>
      </c>
    </row>
    <row r="1456" spans="1:13">
      <c r="A1456" s="4">
        <v>45285</v>
      </c>
      <c r="B1456" s="32"/>
      <c r="C1456" s="32"/>
      <c r="D1456" s="32"/>
      <c r="E1456" s="33"/>
      <c r="F1456" s="32" t="s">
        <v>75</v>
      </c>
      <c r="G1456" s="33" t="s">
        <v>75</v>
      </c>
      <c r="H1456" s="32"/>
      <c r="I1456" s="32" t="s">
        <v>46</v>
      </c>
      <c r="J1456" s="32" t="s">
        <v>46</v>
      </c>
      <c r="M1456" s="21">
        <v>78708000000</v>
      </c>
    </row>
    <row r="1457" spans="1:13">
      <c r="A1457" s="4">
        <v>45286</v>
      </c>
      <c r="B1457" s="32"/>
      <c r="C1457" s="32"/>
      <c r="D1457" s="32"/>
      <c r="E1457" s="33"/>
      <c r="F1457" s="32" t="s">
        <v>75</v>
      </c>
      <c r="G1457" s="33">
        <v>1930215</v>
      </c>
      <c r="H1457" s="32"/>
      <c r="I1457" s="32">
        <v>1930215</v>
      </c>
      <c r="J1457" s="32">
        <v>1930215</v>
      </c>
      <c r="M1457" s="21">
        <v>78708000000</v>
      </c>
    </row>
    <row r="1458" spans="1:13">
      <c r="A1458" s="4">
        <v>45287</v>
      </c>
      <c r="B1458" s="32"/>
      <c r="C1458" s="32"/>
      <c r="D1458" s="32">
        <v>3355345860</v>
      </c>
      <c r="E1458" s="33"/>
      <c r="F1458" s="32">
        <v>3355345860</v>
      </c>
      <c r="G1458" s="33">
        <v>147423818</v>
      </c>
      <c r="H1458" s="32"/>
      <c r="I1458" s="32">
        <v>147423818</v>
      </c>
      <c r="J1458" s="32">
        <v>3502769678</v>
      </c>
      <c r="M1458" s="21">
        <v>83038000000</v>
      </c>
    </row>
    <row r="1459" spans="1:13">
      <c r="A1459" s="4">
        <v>45288</v>
      </c>
      <c r="B1459" s="32"/>
      <c r="C1459" s="32"/>
      <c r="D1459" s="32">
        <v>5300903779</v>
      </c>
      <c r="E1459" s="33"/>
      <c r="F1459" s="32">
        <v>5300903779</v>
      </c>
      <c r="G1459" s="33">
        <v>1202001373</v>
      </c>
      <c r="H1459" s="32">
        <v>100000000</v>
      </c>
      <c r="I1459" s="32">
        <v>1302001373</v>
      </c>
      <c r="J1459" s="32">
        <v>6602905152</v>
      </c>
      <c r="M1459" s="21">
        <v>87354000000</v>
      </c>
    </row>
    <row r="1460" spans="1:13">
      <c r="A1460" s="4">
        <v>45289</v>
      </c>
      <c r="B1460" s="32"/>
      <c r="C1460" s="32"/>
      <c r="D1460" s="32">
        <v>4236659173.4400001</v>
      </c>
      <c r="E1460" s="33">
        <v>2328504920</v>
      </c>
      <c r="F1460" s="32">
        <v>6565164093.4399996</v>
      </c>
      <c r="G1460" s="33">
        <v>956134854</v>
      </c>
      <c r="H1460" s="32"/>
      <c r="I1460" s="32">
        <v>956134854</v>
      </c>
      <c r="J1460" s="32">
        <v>7521298947.4399996</v>
      </c>
      <c r="M1460" s="21">
        <v>91756000000</v>
      </c>
    </row>
    <row r="1461" spans="1:13">
      <c r="A1461" s="4">
        <v>45290</v>
      </c>
      <c r="B1461" s="32"/>
      <c r="C1461" s="32"/>
      <c r="D1461" s="32"/>
      <c r="E1461" s="33"/>
      <c r="F1461" s="32" t="s">
        <v>75</v>
      </c>
      <c r="G1461" s="33">
        <v>26427096</v>
      </c>
      <c r="H1461" s="32"/>
      <c r="I1461" s="32">
        <v>26427096</v>
      </c>
      <c r="J1461" s="32">
        <v>26427096</v>
      </c>
      <c r="M1461" s="21">
        <v>87354000000</v>
      </c>
    </row>
    <row r="1462" spans="1:13">
      <c r="A1462" s="4">
        <v>45291</v>
      </c>
      <c r="B1462" s="32"/>
      <c r="C1462" s="32"/>
      <c r="D1462" s="32"/>
      <c r="E1462" s="33"/>
      <c r="F1462" s="32" t="s">
        <v>75</v>
      </c>
      <c r="G1462" s="33">
        <v>8063507</v>
      </c>
      <c r="H1462" s="32"/>
      <c r="I1462" s="32">
        <v>8063507</v>
      </c>
      <c r="J1462" s="32">
        <v>8063507</v>
      </c>
      <c r="M1462" s="21">
        <v>91756000000</v>
      </c>
    </row>
    <row r="1463" spans="1:13">
      <c r="A1463" s="4">
        <v>45292</v>
      </c>
      <c r="B1463" s="32"/>
      <c r="C1463" s="32"/>
      <c r="D1463" s="32">
        <v>1787730953.5</v>
      </c>
      <c r="E1463" s="33">
        <v>1523750</v>
      </c>
      <c r="F1463" s="32">
        <v>1789254703.5</v>
      </c>
      <c r="G1463" s="33">
        <v>72144011</v>
      </c>
      <c r="H1463" s="32"/>
      <c r="I1463" s="32">
        <v>72144011</v>
      </c>
      <c r="J1463" s="32">
        <v>1861398714.5</v>
      </c>
      <c r="M1463" s="21">
        <v>4949000000</v>
      </c>
    </row>
    <row r="1464" spans="1:13">
      <c r="A1464" s="4">
        <v>45293</v>
      </c>
      <c r="B1464" s="32"/>
      <c r="C1464" s="32"/>
      <c r="D1464" s="32">
        <v>2826058168</v>
      </c>
      <c r="E1464" s="33" t="s">
        <v>77</v>
      </c>
      <c r="F1464" s="32">
        <v>2826058168</v>
      </c>
      <c r="G1464" s="33">
        <v>139099125</v>
      </c>
      <c r="H1464" s="32"/>
      <c r="I1464" s="32">
        <v>139099125</v>
      </c>
      <c r="J1464" s="32">
        <v>2965157293</v>
      </c>
      <c r="M1464" s="21">
        <v>9902000000</v>
      </c>
    </row>
    <row r="1465" spans="1:13">
      <c r="A1465" s="4">
        <v>45294</v>
      </c>
      <c r="B1465" s="32"/>
      <c r="C1465" s="32"/>
      <c r="D1465" s="32">
        <v>5073076004</v>
      </c>
      <c r="E1465" s="33">
        <v>1100</v>
      </c>
      <c r="F1465" s="32">
        <v>5073077104</v>
      </c>
      <c r="G1465" s="33">
        <v>458852619</v>
      </c>
      <c r="H1465" s="32"/>
      <c r="I1465" s="32">
        <v>458852619</v>
      </c>
      <c r="J1465" s="32">
        <v>5531929723</v>
      </c>
      <c r="M1465" s="21">
        <v>14869000000</v>
      </c>
    </row>
    <row r="1466" spans="1:13">
      <c r="A1466" s="4">
        <v>45295</v>
      </c>
      <c r="B1466" s="32"/>
      <c r="C1466" s="32"/>
      <c r="D1466" s="32">
        <v>6166253619</v>
      </c>
      <c r="E1466" s="33">
        <v>5166720</v>
      </c>
      <c r="F1466" s="32">
        <v>6171420339</v>
      </c>
      <c r="G1466" s="33">
        <v>94524417</v>
      </c>
      <c r="H1466" s="32"/>
      <c r="I1466" s="32">
        <v>94524417</v>
      </c>
      <c r="J1466" s="32">
        <v>6265944756</v>
      </c>
      <c r="M1466" s="21">
        <v>19823000000</v>
      </c>
    </row>
    <row r="1467" spans="1:13">
      <c r="A1467" s="4">
        <v>45296</v>
      </c>
      <c r="B1467" s="32"/>
      <c r="C1467" s="32"/>
      <c r="D1467" s="32">
        <v>6675731462</v>
      </c>
      <c r="E1467" s="33" t="s">
        <v>77</v>
      </c>
      <c r="F1467" s="32">
        <v>6675731462</v>
      </c>
      <c r="G1467" s="33">
        <v>1553886934</v>
      </c>
      <c r="H1467" s="32">
        <v>10520251000</v>
      </c>
      <c r="I1467" s="32">
        <v>12074137934</v>
      </c>
      <c r="J1467" s="32">
        <v>18749869396</v>
      </c>
      <c r="M1467" s="21">
        <v>24877000000</v>
      </c>
    </row>
    <row r="1468" spans="1:13">
      <c r="A1468" s="4">
        <v>45297</v>
      </c>
      <c r="B1468" s="32"/>
      <c r="C1468" s="32"/>
      <c r="D1468" s="32"/>
      <c r="E1468" s="33"/>
      <c r="F1468" s="32" t="s">
        <v>46</v>
      </c>
      <c r="G1468" s="33">
        <v>3479622</v>
      </c>
      <c r="H1468" s="32"/>
      <c r="I1468" s="32">
        <v>3479622</v>
      </c>
      <c r="J1468" s="32">
        <v>3479622</v>
      </c>
      <c r="M1468" s="21">
        <v>24877000000</v>
      </c>
    </row>
    <row r="1469" spans="1:13">
      <c r="A1469" s="4">
        <v>45298</v>
      </c>
      <c r="B1469" s="32"/>
      <c r="C1469" s="32"/>
      <c r="D1469" s="32"/>
      <c r="E1469" s="33"/>
      <c r="F1469" s="32" t="s">
        <v>46</v>
      </c>
      <c r="G1469" s="33">
        <v>452232</v>
      </c>
      <c r="H1469" s="32"/>
      <c r="I1469" s="32">
        <v>452232</v>
      </c>
      <c r="J1469" s="32">
        <v>452232</v>
      </c>
      <c r="M1469" s="21">
        <v>24877000000</v>
      </c>
    </row>
    <row r="1470" spans="1:13">
      <c r="A1470" s="4">
        <v>45299</v>
      </c>
      <c r="B1470" s="32"/>
      <c r="C1470" s="32"/>
      <c r="D1470" s="32">
        <v>7193474082.3999996</v>
      </c>
      <c r="E1470" s="33"/>
      <c r="F1470" s="32">
        <v>7193474082.3999996</v>
      </c>
      <c r="G1470" s="33">
        <v>443298809</v>
      </c>
      <c r="H1470" s="32"/>
      <c r="I1470" s="32">
        <v>443298809</v>
      </c>
      <c r="J1470" s="32">
        <v>7636772891.3999996</v>
      </c>
      <c r="M1470" s="21">
        <v>29826000000</v>
      </c>
    </row>
    <row r="1471" spans="1:13">
      <c r="A1471" s="4">
        <v>45300</v>
      </c>
      <c r="B1471" s="32"/>
      <c r="C1471" s="32"/>
      <c r="D1471" s="32">
        <v>4914414177</v>
      </c>
      <c r="E1471" s="33">
        <v>25174.86</v>
      </c>
      <c r="F1471" s="32">
        <v>4914439351.8599997</v>
      </c>
      <c r="G1471" s="33">
        <v>165354279</v>
      </c>
      <c r="H1471" s="32"/>
      <c r="I1471" s="32">
        <v>165354279</v>
      </c>
      <c r="J1471" s="32">
        <v>5079793630.8599997</v>
      </c>
      <c r="M1471" s="21">
        <v>34779000000</v>
      </c>
    </row>
    <row r="1472" spans="1:13">
      <c r="A1472" s="4">
        <v>45301</v>
      </c>
      <c r="B1472" s="32"/>
      <c r="C1472" s="32"/>
      <c r="D1472" s="32">
        <v>3131829709</v>
      </c>
      <c r="E1472" s="33">
        <v>3002425</v>
      </c>
      <c r="F1472" s="32">
        <v>3134832134</v>
      </c>
      <c r="G1472" s="33">
        <v>643693170</v>
      </c>
      <c r="H1472" s="32"/>
      <c r="I1472" s="32">
        <v>643693170</v>
      </c>
      <c r="J1472" s="32">
        <v>3778525304</v>
      </c>
      <c r="M1472" s="21">
        <v>39744000000</v>
      </c>
    </row>
    <row r="1473" spans="1:13">
      <c r="A1473" s="4">
        <v>45302</v>
      </c>
      <c r="B1473" s="32"/>
      <c r="C1473" s="32"/>
      <c r="D1473" s="32">
        <v>3291069699</v>
      </c>
      <c r="E1473" s="33">
        <v>730080</v>
      </c>
      <c r="F1473" s="32">
        <v>3291799779</v>
      </c>
      <c r="G1473" s="33">
        <v>71902258</v>
      </c>
      <c r="H1473" s="32"/>
      <c r="I1473" s="32">
        <v>71902258</v>
      </c>
      <c r="J1473" s="32">
        <v>3363702037</v>
      </c>
      <c r="M1473" s="21">
        <v>44697000000</v>
      </c>
    </row>
    <row r="1474" spans="1:13">
      <c r="A1474" s="4">
        <v>45303</v>
      </c>
      <c r="B1474" s="32"/>
      <c r="C1474" s="32"/>
      <c r="D1474" s="32">
        <v>3504120061.4899998</v>
      </c>
      <c r="E1474" s="33" t="s">
        <v>77</v>
      </c>
      <c r="F1474" s="32">
        <v>3504120061.4899998</v>
      </c>
      <c r="G1474" s="33">
        <v>141489402</v>
      </c>
      <c r="H1474" s="32">
        <v>100000000</v>
      </c>
      <c r="I1474" s="32">
        <v>241489402</v>
      </c>
      <c r="J1474" s="32">
        <v>3745609463.4899998</v>
      </c>
      <c r="M1474" s="21">
        <v>61242000000</v>
      </c>
    </row>
    <row r="1475" spans="1:13">
      <c r="A1475" s="4">
        <v>45304</v>
      </c>
      <c r="B1475" s="32"/>
      <c r="C1475" s="32"/>
      <c r="D1475" s="32"/>
      <c r="E1475" s="33"/>
      <c r="F1475" s="32" t="s">
        <v>46</v>
      </c>
      <c r="G1475" s="33">
        <v>27972898</v>
      </c>
      <c r="H1475" s="32"/>
      <c r="I1475" s="32">
        <v>27972898</v>
      </c>
      <c r="J1475" s="32">
        <v>27972898</v>
      </c>
      <c r="M1475" s="21">
        <v>61242000000</v>
      </c>
    </row>
    <row r="1476" spans="1:13">
      <c r="A1476" s="4">
        <v>45305</v>
      </c>
      <c r="B1476" s="32"/>
      <c r="C1476" s="32"/>
      <c r="D1476" s="32"/>
      <c r="E1476" s="33"/>
      <c r="F1476" s="32" t="s">
        <v>46</v>
      </c>
      <c r="G1476" s="33">
        <v>4950</v>
      </c>
      <c r="H1476" s="32"/>
      <c r="I1476" s="32">
        <v>4950</v>
      </c>
      <c r="J1476" s="32">
        <v>4950</v>
      </c>
      <c r="M1476" s="21">
        <v>61242000000</v>
      </c>
    </row>
    <row r="1477" spans="1:13">
      <c r="A1477" s="4">
        <v>45306</v>
      </c>
      <c r="B1477" s="32"/>
      <c r="C1477" s="32"/>
      <c r="D1477" s="32"/>
      <c r="E1477" s="33"/>
      <c r="F1477" s="32" t="s">
        <v>46</v>
      </c>
      <c r="G1477" s="33">
        <v>522800</v>
      </c>
      <c r="H1477" s="32"/>
      <c r="I1477" s="32">
        <v>522800</v>
      </c>
      <c r="J1477" s="32">
        <v>522800</v>
      </c>
      <c r="M1477" s="21">
        <v>61242000000</v>
      </c>
    </row>
    <row r="1478" spans="1:13">
      <c r="A1478" s="4">
        <v>45307</v>
      </c>
      <c r="B1478" s="32"/>
      <c r="C1478" s="32"/>
      <c r="D1478" s="32">
        <v>4344053272</v>
      </c>
      <c r="E1478" s="33">
        <v>2489500</v>
      </c>
      <c r="F1478" s="32">
        <v>4346542772</v>
      </c>
      <c r="G1478" s="33">
        <v>289744808</v>
      </c>
      <c r="H1478" s="32"/>
      <c r="I1478" s="32">
        <v>289744808</v>
      </c>
      <c r="J1478" s="32">
        <v>4636287580</v>
      </c>
      <c r="M1478" s="21">
        <v>66197000000</v>
      </c>
    </row>
    <row r="1479" spans="1:13">
      <c r="A1479" s="4">
        <v>45308</v>
      </c>
      <c r="B1479" s="32"/>
      <c r="C1479" s="32"/>
      <c r="D1479" s="32">
        <v>3619164550.96</v>
      </c>
      <c r="E1479" s="33">
        <v>651716.73</v>
      </c>
      <c r="F1479" s="32">
        <v>3619816267.6900001</v>
      </c>
      <c r="G1479" s="33">
        <v>223745894</v>
      </c>
      <c r="H1479" s="32"/>
      <c r="I1479" s="32">
        <v>223745894</v>
      </c>
      <c r="J1479" s="32">
        <v>3843562161.6900001</v>
      </c>
      <c r="M1479" s="21">
        <v>71162000000</v>
      </c>
    </row>
    <row r="1480" spans="1:13">
      <c r="A1480" s="4">
        <v>45309</v>
      </c>
      <c r="B1480" s="32"/>
      <c r="C1480" s="32"/>
      <c r="D1480" s="32">
        <v>4035822772.75</v>
      </c>
      <c r="E1480" s="33"/>
      <c r="F1480" s="32">
        <v>4035822772.75</v>
      </c>
      <c r="G1480" s="33">
        <v>623183970</v>
      </c>
      <c r="H1480" s="32"/>
      <c r="I1480" s="32">
        <v>623183970</v>
      </c>
      <c r="J1480" s="32">
        <v>4659006742.75</v>
      </c>
      <c r="M1480" s="21">
        <v>76117000000</v>
      </c>
    </row>
    <row r="1481" spans="1:13">
      <c r="A1481" s="4">
        <v>45310</v>
      </c>
      <c r="B1481" s="32"/>
      <c r="C1481" s="32"/>
      <c r="D1481" s="32">
        <v>3132731388.23</v>
      </c>
      <c r="E1481" s="33">
        <v>726750</v>
      </c>
      <c r="F1481" s="32">
        <v>3133458138.23</v>
      </c>
      <c r="G1481" s="33">
        <v>773510176</v>
      </c>
      <c r="H1481" s="32">
        <v>100000000</v>
      </c>
      <c r="I1481" s="32">
        <v>873510176</v>
      </c>
      <c r="J1481" s="32">
        <v>4006968314.23</v>
      </c>
      <c r="M1481" s="21">
        <v>81169000000</v>
      </c>
    </row>
    <row r="1482" spans="1:13">
      <c r="A1482" s="4">
        <v>45311</v>
      </c>
      <c r="B1482" s="32"/>
      <c r="C1482" s="32"/>
      <c r="D1482" s="32"/>
      <c r="E1482" s="33"/>
      <c r="F1482" s="32" t="s">
        <v>46</v>
      </c>
      <c r="G1482" s="33">
        <v>11370641</v>
      </c>
      <c r="H1482" s="32"/>
      <c r="I1482" s="32">
        <v>11370641</v>
      </c>
      <c r="J1482" s="32">
        <v>11370641</v>
      </c>
      <c r="M1482" s="21">
        <v>81169000000</v>
      </c>
    </row>
    <row r="1483" spans="1:13">
      <c r="A1483" s="4">
        <v>45312</v>
      </c>
      <c r="B1483" s="32"/>
      <c r="C1483" s="32"/>
      <c r="D1483" s="32"/>
      <c r="E1483" s="33"/>
      <c r="F1483" s="32" t="s">
        <v>46</v>
      </c>
      <c r="G1483" s="33">
        <v>11000</v>
      </c>
      <c r="H1483" s="32"/>
      <c r="I1483" s="32">
        <v>11000</v>
      </c>
      <c r="J1483" s="32">
        <v>11000</v>
      </c>
      <c r="M1483" s="21">
        <v>81169000000</v>
      </c>
    </row>
    <row r="1484" spans="1:13">
      <c r="A1484" s="4">
        <v>45313</v>
      </c>
      <c r="B1484" s="32"/>
      <c r="C1484" s="32"/>
      <c r="D1484" s="32">
        <v>7712433871.0500002</v>
      </c>
      <c r="E1484" s="33"/>
      <c r="F1484" s="32">
        <v>7712433871.0500002</v>
      </c>
      <c r="G1484" s="33">
        <v>125818934</v>
      </c>
      <c r="H1484" s="32"/>
      <c r="I1484" s="32">
        <v>125818934</v>
      </c>
      <c r="J1484" s="32">
        <v>7838252805.0500002</v>
      </c>
      <c r="M1484" s="21">
        <v>86121000000</v>
      </c>
    </row>
    <row r="1485" spans="1:13">
      <c r="A1485" s="4">
        <v>45314</v>
      </c>
      <c r="B1485" s="32"/>
      <c r="C1485" s="32"/>
      <c r="D1485" s="32">
        <v>4393434875.3000002</v>
      </c>
      <c r="E1485" s="33">
        <v>4702644.08</v>
      </c>
      <c r="F1485" s="32">
        <v>4398137519.3800001</v>
      </c>
      <c r="G1485" s="33">
        <v>369620780</v>
      </c>
      <c r="H1485" s="32"/>
      <c r="I1485" s="32">
        <v>369620780</v>
      </c>
      <c r="J1485" s="32">
        <v>4767758299.3800001</v>
      </c>
      <c r="M1485" s="21">
        <v>91074000000</v>
      </c>
    </row>
    <row r="1486" spans="1:13">
      <c r="A1486" s="4">
        <v>45315</v>
      </c>
      <c r="B1486" s="32"/>
      <c r="C1486" s="32"/>
      <c r="D1486" s="32">
        <v>3799877160</v>
      </c>
      <c r="E1486" s="33">
        <v>274842627</v>
      </c>
      <c r="F1486" s="32">
        <v>4074719787</v>
      </c>
      <c r="G1486" s="33">
        <v>136970878</v>
      </c>
      <c r="H1486" s="32"/>
      <c r="I1486" s="32">
        <v>136970878</v>
      </c>
      <c r="J1486" s="32">
        <v>4211690665</v>
      </c>
      <c r="M1486" s="21">
        <v>96037000000</v>
      </c>
    </row>
    <row r="1487" spans="1:13">
      <c r="A1487" s="4">
        <v>45316</v>
      </c>
      <c r="B1487" s="32"/>
      <c r="C1487" s="32"/>
      <c r="D1487" s="32"/>
      <c r="E1487" s="33"/>
      <c r="F1487" s="32" t="s">
        <v>46</v>
      </c>
      <c r="G1487" s="33">
        <v>2539450</v>
      </c>
      <c r="H1487" s="32"/>
      <c r="I1487" s="32">
        <v>2539450</v>
      </c>
      <c r="J1487" s="32">
        <v>2539450</v>
      </c>
      <c r="M1487" s="21">
        <v>96037000000</v>
      </c>
    </row>
    <row r="1488" spans="1:13">
      <c r="A1488" s="4">
        <v>45317</v>
      </c>
      <c r="B1488" s="32"/>
      <c r="C1488" s="32"/>
      <c r="D1488" s="32">
        <v>3626065347.5999999</v>
      </c>
      <c r="E1488" s="33">
        <v>148320</v>
      </c>
      <c r="F1488" s="32">
        <v>3626213667.5999999</v>
      </c>
      <c r="G1488" s="33">
        <v>62996168</v>
      </c>
      <c r="H1488" s="32">
        <v>100000000</v>
      </c>
      <c r="I1488" s="32">
        <v>162996168</v>
      </c>
      <c r="J1488" s="32">
        <v>3789209835.5999999</v>
      </c>
      <c r="M1488" s="21">
        <v>101093000000</v>
      </c>
    </row>
    <row r="1489" spans="1:13">
      <c r="A1489" s="4">
        <v>45318</v>
      </c>
      <c r="B1489" s="32"/>
      <c r="C1489" s="32"/>
      <c r="D1489" s="32"/>
      <c r="E1489" s="33"/>
      <c r="F1489" s="32" t="s">
        <v>46</v>
      </c>
      <c r="G1489" s="33">
        <v>157794689</v>
      </c>
      <c r="H1489" s="32"/>
      <c r="I1489" s="32">
        <v>157794689</v>
      </c>
      <c r="J1489" s="32">
        <v>157794689</v>
      </c>
      <c r="M1489" s="21">
        <v>101093000000</v>
      </c>
    </row>
    <row r="1490" spans="1:13">
      <c r="A1490" s="4">
        <v>45319</v>
      </c>
      <c r="B1490" s="32"/>
      <c r="C1490" s="32"/>
      <c r="D1490" s="32"/>
      <c r="E1490" s="33"/>
      <c r="F1490" s="32" t="s">
        <v>46</v>
      </c>
      <c r="G1490" s="33">
        <v>4100</v>
      </c>
      <c r="H1490" s="32"/>
      <c r="I1490" s="32">
        <v>4100</v>
      </c>
      <c r="J1490" s="32">
        <v>4100</v>
      </c>
      <c r="M1490" s="21">
        <v>101093000000</v>
      </c>
    </row>
    <row r="1491" spans="1:13">
      <c r="A1491" s="4">
        <v>45320</v>
      </c>
      <c r="B1491" s="32"/>
      <c r="C1491" s="32"/>
      <c r="D1491" s="32">
        <v>8850367701.8799992</v>
      </c>
      <c r="E1491" s="33">
        <v>29846</v>
      </c>
      <c r="F1491" s="32">
        <v>8850397547.8799992</v>
      </c>
      <c r="G1491" s="33">
        <v>679911069</v>
      </c>
      <c r="H1491" s="32"/>
      <c r="I1491" s="32">
        <v>679911069</v>
      </c>
      <c r="J1491" s="32">
        <v>9530308616.8799992</v>
      </c>
      <c r="M1491" s="21">
        <v>106047000000</v>
      </c>
    </row>
    <row r="1492" spans="1:13">
      <c r="A1492" s="4">
        <v>45321</v>
      </c>
      <c r="B1492" s="32"/>
      <c r="C1492" s="32"/>
      <c r="D1492" s="32">
        <v>3113159872.2800002</v>
      </c>
      <c r="E1492" s="33">
        <v>6508977.2999999998</v>
      </c>
      <c r="F1492" s="32">
        <v>3119668849.5799999</v>
      </c>
      <c r="G1492" s="33">
        <v>169282587</v>
      </c>
      <c r="H1492" s="32"/>
      <c r="I1492" s="32">
        <v>169282587</v>
      </c>
      <c r="J1492" s="32">
        <v>3288951436.5799999</v>
      </c>
      <c r="M1492" s="21">
        <v>106048000000</v>
      </c>
    </row>
    <row r="1493" spans="1:13">
      <c r="A1493" s="4">
        <v>45322</v>
      </c>
      <c r="B1493" s="32"/>
      <c r="C1493" s="32"/>
      <c r="D1493" s="32">
        <v>2978676897.9499998</v>
      </c>
      <c r="E1493" s="33">
        <v>6743491936.9399996</v>
      </c>
      <c r="F1493" s="32">
        <v>9722168834.8899994</v>
      </c>
      <c r="G1493" s="33">
        <v>261703081</v>
      </c>
      <c r="H1493" s="32"/>
      <c r="I1493" s="32">
        <v>261703081</v>
      </c>
      <c r="J1493" s="32">
        <v>9983871915.8899994</v>
      </c>
      <c r="M1493" s="21">
        <v>111013000000</v>
      </c>
    </row>
    <row r="1494" spans="1:13">
      <c r="A1494" s="4">
        <v>45323</v>
      </c>
      <c r="B1494" s="32"/>
      <c r="C1494" s="32"/>
      <c r="D1494" s="33">
        <v>6284902675.0900002</v>
      </c>
      <c r="E1494" s="33">
        <v>167732632</v>
      </c>
      <c r="F1494" s="33">
        <v>6452635307.0900002</v>
      </c>
      <c r="G1494" s="33">
        <v>131630182</v>
      </c>
      <c r="H1494" s="32" t="s">
        <v>76</v>
      </c>
      <c r="I1494" s="32">
        <v>131630182</v>
      </c>
      <c r="J1494" s="32">
        <v>6584265489.0900002</v>
      </c>
      <c r="M1494" s="21">
        <v>5326000000</v>
      </c>
    </row>
    <row r="1495" spans="1:13">
      <c r="A1495" s="4">
        <v>45324</v>
      </c>
      <c r="B1495" s="32"/>
      <c r="C1495" s="32"/>
      <c r="D1495" s="33">
        <v>2753309860</v>
      </c>
      <c r="E1495" s="33">
        <v>7298002.0199999996</v>
      </c>
      <c r="F1495" s="33">
        <v>2760607862.02</v>
      </c>
      <c r="G1495" s="33">
        <v>570543930</v>
      </c>
      <c r="H1495" s="32">
        <v>100000000</v>
      </c>
      <c r="I1495" s="32">
        <v>670543930</v>
      </c>
      <c r="J1495" s="32">
        <v>3431151792.02</v>
      </c>
      <c r="M1495" s="21">
        <v>10754000000</v>
      </c>
    </row>
    <row r="1496" spans="1:13">
      <c r="A1496" s="4">
        <v>45325</v>
      </c>
      <c r="B1496" s="32"/>
      <c r="C1496" s="32"/>
      <c r="D1496" s="33" t="s">
        <v>75</v>
      </c>
      <c r="E1496" s="33" t="s">
        <v>77</v>
      </c>
      <c r="F1496" s="33" t="s">
        <v>46</v>
      </c>
      <c r="G1496" s="33">
        <v>4157072</v>
      </c>
      <c r="H1496" s="32"/>
      <c r="I1496" s="32">
        <v>4157072</v>
      </c>
      <c r="J1496" s="32">
        <v>4157072</v>
      </c>
      <c r="M1496" s="21">
        <v>10754000000</v>
      </c>
    </row>
    <row r="1497" spans="1:13">
      <c r="A1497" s="4">
        <v>45326</v>
      </c>
      <c r="B1497" s="32"/>
      <c r="C1497" s="32"/>
      <c r="D1497" s="33" t="s">
        <v>75</v>
      </c>
      <c r="E1497" s="33" t="s">
        <v>77</v>
      </c>
      <c r="F1497" s="33" t="s">
        <v>46</v>
      </c>
      <c r="G1497" s="33">
        <v>1008600</v>
      </c>
      <c r="H1497" s="32"/>
      <c r="I1497" s="32">
        <v>1008600</v>
      </c>
      <c r="J1497" s="32">
        <v>1008600</v>
      </c>
      <c r="M1497" s="21">
        <v>10754000000</v>
      </c>
    </row>
    <row r="1498" spans="1:13">
      <c r="A1498" s="4">
        <v>45327</v>
      </c>
      <c r="B1498" s="32"/>
      <c r="C1498" s="32"/>
      <c r="D1498" s="33">
        <v>7071132869.8999996</v>
      </c>
      <c r="E1498" s="33" t="s">
        <v>77</v>
      </c>
      <c r="F1498" s="33">
        <v>7071132869.8999996</v>
      </c>
      <c r="G1498" s="33">
        <v>147771243</v>
      </c>
      <c r="H1498" s="32"/>
      <c r="I1498" s="32">
        <v>147771243</v>
      </c>
      <c r="J1498" s="32">
        <v>7218904112.8999996</v>
      </c>
      <c r="M1498" s="21">
        <v>16079000000</v>
      </c>
    </row>
    <row r="1499" spans="1:13">
      <c r="A1499" s="4">
        <v>45328</v>
      </c>
      <c r="B1499" s="32"/>
      <c r="C1499" s="32"/>
      <c r="D1499" s="33">
        <v>4162858863.0900002</v>
      </c>
      <c r="E1499" s="33">
        <v>6039.29</v>
      </c>
      <c r="F1499" s="33">
        <v>4162864902.3800001</v>
      </c>
      <c r="G1499" s="33">
        <v>728320252</v>
      </c>
      <c r="H1499" s="32">
        <v>5461378774</v>
      </c>
      <c r="I1499" s="32">
        <v>6189699026</v>
      </c>
      <c r="J1499" s="32">
        <v>10352563928.379999</v>
      </c>
      <c r="M1499" s="21">
        <v>21409000000</v>
      </c>
    </row>
    <row r="1500" spans="1:13">
      <c r="A1500" s="4">
        <v>45329</v>
      </c>
      <c r="B1500" s="32"/>
      <c r="C1500" s="32"/>
      <c r="D1500" s="33">
        <v>3744226849</v>
      </c>
      <c r="E1500" s="33">
        <v>18783</v>
      </c>
      <c r="F1500" s="33">
        <v>3744245632</v>
      </c>
      <c r="G1500" s="33">
        <v>314471261</v>
      </c>
      <c r="H1500" s="32" t="s">
        <v>76</v>
      </c>
      <c r="I1500" s="32">
        <v>314471261</v>
      </c>
      <c r="J1500" s="32">
        <v>4058716893</v>
      </c>
      <c r="M1500" s="21">
        <v>26741000000</v>
      </c>
    </row>
    <row r="1501" spans="1:13">
      <c r="A1501" s="4">
        <v>45330</v>
      </c>
      <c r="B1501" s="32"/>
      <c r="C1501" s="32"/>
      <c r="D1501" s="33">
        <v>6292902479</v>
      </c>
      <c r="E1501" s="33">
        <v>769500</v>
      </c>
      <c r="F1501" s="33">
        <v>6293671979</v>
      </c>
      <c r="G1501" s="33">
        <v>345249107</v>
      </c>
      <c r="H1501" s="32" t="s">
        <v>76</v>
      </c>
      <c r="I1501" s="32">
        <v>345249107</v>
      </c>
      <c r="J1501" s="32">
        <v>6638921086</v>
      </c>
      <c r="M1501" s="21">
        <v>32068000000</v>
      </c>
    </row>
    <row r="1502" spans="1:13">
      <c r="A1502" s="4">
        <v>45331</v>
      </c>
      <c r="B1502" s="32"/>
      <c r="C1502" s="32"/>
      <c r="D1502" s="33">
        <v>6833028267.6199999</v>
      </c>
      <c r="E1502" s="33" t="s">
        <v>77</v>
      </c>
      <c r="F1502" s="33">
        <v>6833028267.6199999</v>
      </c>
      <c r="G1502" s="33">
        <v>221038584</v>
      </c>
      <c r="H1502" s="32">
        <v>100000000</v>
      </c>
      <c r="I1502" s="32">
        <v>321038584</v>
      </c>
      <c r="J1502" s="32">
        <v>7154066851.6199999</v>
      </c>
      <c r="M1502" s="21">
        <v>49111000000</v>
      </c>
    </row>
    <row r="1503" spans="1:13">
      <c r="A1503" s="4">
        <v>45332</v>
      </c>
      <c r="B1503" s="32"/>
      <c r="C1503" s="32"/>
      <c r="D1503" s="33" t="s">
        <v>75</v>
      </c>
      <c r="E1503" s="33" t="s">
        <v>77</v>
      </c>
      <c r="F1503" s="33" t="s">
        <v>46</v>
      </c>
      <c r="G1503" s="33">
        <v>3495700</v>
      </c>
      <c r="H1503" s="32" t="s">
        <v>76</v>
      </c>
      <c r="I1503" s="32">
        <v>3495700</v>
      </c>
      <c r="J1503" s="32">
        <v>3495700</v>
      </c>
      <c r="M1503" s="21">
        <v>49111000000</v>
      </c>
    </row>
    <row r="1504" spans="1:13">
      <c r="A1504" s="4">
        <v>45333</v>
      </c>
      <c r="B1504" s="32"/>
      <c r="C1504" s="32"/>
      <c r="D1504" s="33" t="s">
        <v>75</v>
      </c>
      <c r="E1504" s="33" t="s">
        <v>77</v>
      </c>
      <c r="F1504" s="33" t="s">
        <v>46</v>
      </c>
      <c r="G1504" s="33">
        <v>391282</v>
      </c>
      <c r="H1504" s="32" t="s">
        <v>76</v>
      </c>
      <c r="I1504" s="32">
        <v>391282</v>
      </c>
      <c r="J1504" s="32">
        <v>391282</v>
      </c>
      <c r="M1504" s="21">
        <v>49111000000</v>
      </c>
    </row>
    <row r="1505" spans="1:13">
      <c r="A1505" s="4">
        <v>45334</v>
      </c>
      <c r="B1505" s="32"/>
      <c r="C1505" s="32"/>
      <c r="D1505" s="33">
        <v>3294151063</v>
      </c>
      <c r="E1505" s="33" t="s">
        <v>77</v>
      </c>
      <c r="F1505" s="33">
        <v>3294151063</v>
      </c>
      <c r="G1505" s="33">
        <v>105674681</v>
      </c>
      <c r="H1505" s="32" t="s">
        <v>76</v>
      </c>
      <c r="I1505" s="32">
        <v>105674681</v>
      </c>
      <c r="J1505" s="32">
        <v>3399825744</v>
      </c>
      <c r="M1505" s="21">
        <v>54435000000</v>
      </c>
    </row>
    <row r="1506" spans="1:13">
      <c r="A1506" s="4">
        <v>45335</v>
      </c>
      <c r="B1506" s="32"/>
      <c r="C1506" s="32"/>
      <c r="D1506" s="33">
        <v>3466145962</v>
      </c>
      <c r="E1506" s="33" t="s">
        <v>77</v>
      </c>
      <c r="F1506" s="33">
        <v>3466145962</v>
      </c>
      <c r="G1506" s="33">
        <v>319803027</v>
      </c>
      <c r="H1506" s="32" t="s">
        <v>76</v>
      </c>
      <c r="I1506" s="32">
        <v>319803027</v>
      </c>
      <c r="J1506" s="32">
        <v>3785948989</v>
      </c>
      <c r="M1506" s="21">
        <v>59765000000</v>
      </c>
    </row>
    <row r="1507" spans="1:13">
      <c r="A1507" s="4">
        <v>45336</v>
      </c>
      <c r="B1507" s="32"/>
      <c r="C1507" s="32"/>
      <c r="D1507" s="33">
        <v>2906880556</v>
      </c>
      <c r="E1507" s="33">
        <v>1563250</v>
      </c>
      <c r="F1507" s="33">
        <v>2908443806</v>
      </c>
      <c r="G1507" s="33">
        <v>383677640</v>
      </c>
      <c r="H1507" s="32" t="s">
        <v>76</v>
      </c>
      <c r="I1507" s="32">
        <v>383677640</v>
      </c>
      <c r="J1507" s="32">
        <v>3292121446</v>
      </c>
      <c r="M1507" s="21">
        <v>65097000000</v>
      </c>
    </row>
    <row r="1508" spans="1:13">
      <c r="A1508" s="4">
        <v>45337</v>
      </c>
      <c r="B1508" s="32"/>
      <c r="C1508" s="32"/>
      <c r="D1508" s="33">
        <v>2659381679</v>
      </c>
      <c r="E1508" s="33">
        <v>10160</v>
      </c>
      <c r="F1508" s="33">
        <v>2659391839</v>
      </c>
      <c r="G1508" s="33">
        <v>432734923</v>
      </c>
      <c r="H1508" s="32" t="s">
        <v>76</v>
      </c>
      <c r="I1508" s="32">
        <v>432734923</v>
      </c>
      <c r="J1508" s="32">
        <v>3092126762</v>
      </c>
      <c r="M1508" s="21">
        <v>70426000000</v>
      </c>
    </row>
    <row r="1509" spans="1:13">
      <c r="A1509" s="4">
        <v>45338</v>
      </c>
      <c r="B1509" s="32"/>
      <c r="C1509" s="32"/>
      <c r="D1509" s="33">
        <v>2581410198.1999998</v>
      </c>
      <c r="E1509" s="33">
        <v>13933.92</v>
      </c>
      <c r="F1509" s="33">
        <v>2581424132.1199999</v>
      </c>
      <c r="G1509" s="33">
        <v>86839792</v>
      </c>
      <c r="H1509" s="32">
        <v>100000000</v>
      </c>
      <c r="I1509" s="32">
        <v>186839792</v>
      </c>
      <c r="J1509" s="32">
        <v>2768263924.1199999</v>
      </c>
      <c r="M1509" s="21">
        <v>75852000000</v>
      </c>
    </row>
    <row r="1510" spans="1:13">
      <c r="A1510" s="4">
        <v>45339</v>
      </c>
      <c r="B1510" s="32"/>
      <c r="C1510" s="32"/>
      <c r="D1510" s="33" t="s">
        <v>75</v>
      </c>
      <c r="E1510" s="33" t="s">
        <v>77</v>
      </c>
      <c r="F1510" s="33" t="s">
        <v>46</v>
      </c>
      <c r="G1510" s="33">
        <v>17128805</v>
      </c>
      <c r="H1510" s="32" t="s">
        <v>76</v>
      </c>
      <c r="I1510" s="32">
        <v>17128805</v>
      </c>
      <c r="J1510" s="32">
        <v>17128805</v>
      </c>
      <c r="M1510" s="21">
        <v>75852000000</v>
      </c>
    </row>
    <row r="1511" spans="1:13">
      <c r="A1511" s="4">
        <v>45340</v>
      </c>
      <c r="B1511" s="32"/>
      <c r="C1511" s="32"/>
      <c r="D1511" s="33" t="s">
        <v>75</v>
      </c>
      <c r="E1511" s="33" t="s">
        <v>77</v>
      </c>
      <c r="F1511" s="33" t="s">
        <v>46</v>
      </c>
      <c r="G1511" s="33" t="s">
        <v>75</v>
      </c>
      <c r="H1511" s="32" t="s">
        <v>76</v>
      </c>
      <c r="I1511" s="32" t="s">
        <v>46</v>
      </c>
      <c r="J1511" s="32" t="s">
        <v>46</v>
      </c>
      <c r="M1511" s="21">
        <v>75852000000</v>
      </c>
    </row>
    <row r="1512" spans="1:13">
      <c r="A1512" s="4">
        <v>45341</v>
      </c>
      <c r="B1512" s="32"/>
      <c r="C1512" s="32"/>
      <c r="D1512" s="33">
        <v>4975290886.8800001</v>
      </c>
      <c r="E1512" s="33" t="s">
        <v>77</v>
      </c>
      <c r="F1512" s="33">
        <v>4975290886.8800001</v>
      </c>
      <c r="G1512" s="33">
        <v>156205590</v>
      </c>
      <c r="H1512" s="32" t="s">
        <v>76</v>
      </c>
      <c r="I1512" s="32">
        <v>156205590</v>
      </c>
      <c r="J1512" s="32">
        <v>5131496476.8800001</v>
      </c>
      <c r="M1512" s="21">
        <v>81175000000</v>
      </c>
    </row>
    <row r="1513" spans="1:13">
      <c r="A1513" s="4">
        <v>45342</v>
      </c>
      <c r="B1513" s="32"/>
      <c r="C1513" s="32"/>
      <c r="D1513" s="33">
        <v>3755284046.9699998</v>
      </c>
      <c r="E1513" s="33" t="s">
        <v>77</v>
      </c>
      <c r="F1513" s="33">
        <v>3755284046.9699998</v>
      </c>
      <c r="G1513" s="33">
        <v>684655241</v>
      </c>
      <c r="H1513" s="32" t="s">
        <v>76</v>
      </c>
      <c r="I1513" s="32">
        <v>684655241</v>
      </c>
      <c r="J1513" s="32">
        <v>4439939287.9700003</v>
      </c>
      <c r="M1513" s="21">
        <v>86505000000</v>
      </c>
    </row>
    <row r="1514" spans="1:13">
      <c r="A1514" s="4">
        <v>45343</v>
      </c>
      <c r="B1514" s="32"/>
      <c r="C1514" s="32"/>
      <c r="D1514" s="33">
        <v>3290267365</v>
      </c>
      <c r="E1514" s="33"/>
      <c r="F1514" s="33">
        <v>3290267365</v>
      </c>
      <c r="G1514" s="33">
        <v>320153077</v>
      </c>
      <c r="H1514" s="32" t="s">
        <v>76</v>
      </c>
      <c r="I1514" s="32">
        <v>320153077</v>
      </c>
      <c r="J1514" s="32">
        <v>3610420442</v>
      </c>
      <c r="M1514" s="21">
        <v>91836000000</v>
      </c>
    </row>
    <row r="1515" spans="1:13">
      <c r="A1515" s="4">
        <v>45344</v>
      </c>
      <c r="B1515" s="32"/>
      <c r="C1515" s="32"/>
      <c r="D1515" s="33">
        <v>3492049665</v>
      </c>
      <c r="E1515" s="33">
        <v>818477.23</v>
      </c>
      <c r="F1515" s="33">
        <v>3492868142.23</v>
      </c>
      <c r="G1515" s="33">
        <v>461204071</v>
      </c>
      <c r="H1515" s="32">
        <v>100000000</v>
      </c>
      <c r="I1515" s="32">
        <v>561204071</v>
      </c>
      <c r="J1515" s="32">
        <v>4054072213.23</v>
      </c>
      <c r="M1515" s="21">
        <v>97165000000</v>
      </c>
    </row>
    <row r="1516" spans="1:13">
      <c r="A1516" s="4">
        <v>45345</v>
      </c>
      <c r="B1516" s="32"/>
      <c r="C1516" s="32"/>
      <c r="D1516" s="33" t="s">
        <v>75</v>
      </c>
      <c r="E1516" s="33" t="s">
        <v>77</v>
      </c>
      <c r="F1516" s="33" t="s">
        <v>46</v>
      </c>
      <c r="G1516" s="33" t="s">
        <v>75</v>
      </c>
      <c r="H1516" s="32" t="s">
        <v>76</v>
      </c>
      <c r="I1516" s="32" t="s">
        <v>46</v>
      </c>
      <c r="J1516" s="32" t="s">
        <v>46</v>
      </c>
      <c r="M1516" s="21">
        <v>97165000000</v>
      </c>
    </row>
    <row r="1517" spans="1:13">
      <c r="A1517" s="4">
        <v>45346</v>
      </c>
      <c r="B1517" s="32"/>
      <c r="C1517" s="32"/>
      <c r="D1517" s="33" t="s">
        <v>75</v>
      </c>
      <c r="E1517" s="33" t="s">
        <v>77</v>
      </c>
      <c r="F1517" s="33" t="s">
        <v>46</v>
      </c>
      <c r="G1517" s="33">
        <v>183605220</v>
      </c>
      <c r="H1517" s="32" t="s">
        <v>76</v>
      </c>
      <c r="I1517" s="32">
        <v>183605220</v>
      </c>
      <c r="J1517" s="32">
        <v>183605220</v>
      </c>
      <c r="M1517" s="21">
        <v>97165000000</v>
      </c>
    </row>
    <row r="1518" spans="1:13">
      <c r="A1518" s="4">
        <v>45347</v>
      </c>
      <c r="B1518" s="32"/>
      <c r="C1518" s="32"/>
      <c r="D1518" s="33" t="s">
        <v>75</v>
      </c>
      <c r="E1518" s="33" t="s">
        <v>77</v>
      </c>
      <c r="F1518" s="33" t="s">
        <v>46</v>
      </c>
      <c r="G1518" s="33">
        <v>1564100</v>
      </c>
      <c r="H1518" s="32" t="s">
        <v>76</v>
      </c>
      <c r="I1518" s="32">
        <v>1564100</v>
      </c>
      <c r="J1518" s="32">
        <v>1564100</v>
      </c>
      <c r="M1518" s="21">
        <v>97165000000</v>
      </c>
    </row>
    <row r="1519" spans="1:13">
      <c r="A1519" s="4">
        <v>45348</v>
      </c>
      <c r="B1519" s="32"/>
      <c r="C1519" s="32"/>
      <c r="D1519" s="33">
        <v>7330266756</v>
      </c>
      <c r="E1519" s="33" t="s">
        <v>77</v>
      </c>
      <c r="F1519" s="33">
        <v>7330266756</v>
      </c>
      <c r="G1519" s="33">
        <v>328338383</v>
      </c>
      <c r="H1519" s="32" t="s">
        <v>76</v>
      </c>
      <c r="I1519" s="32">
        <v>328338383</v>
      </c>
      <c r="J1519" s="32">
        <v>7658605139</v>
      </c>
      <c r="M1519" s="21">
        <v>102489000000</v>
      </c>
    </row>
    <row r="1520" spans="1:13">
      <c r="A1520" s="4">
        <v>45349</v>
      </c>
      <c r="B1520" s="32"/>
      <c r="C1520" s="32"/>
      <c r="D1520" s="33">
        <v>3916567945</v>
      </c>
      <c r="E1520" s="33">
        <v>80555</v>
      </c>
      <c r="F1520" s="33">
        <v>3916648500</v>
      </c>
      <c r="G1520" s="33">
        <v>244731399</v>
      </c>
      <c r="H1520" s="32" t="s">
        <v>76</v>
      </c>
      <c r="I1520" s="32">
        <v>244731399</v>
      </c>
      <c r="J1520" s="32">
        <v>4161379899</v>
      </c>
      <c r="M1520" s="21">
        <v>107817000000</v>
      </c>
    </row>
    <row r="1521" spans="1:13">
      <c r="A1521" s="4">
        <v>45350</v>
      </c>
      <c r="B1521" s="32"/>
      <c r="C1521" s="32"/>
      <c r="D1521" s="33">
        <v>3678442507</v>
      </c>
      <c r="E1521" s="33">
        <v>2391350</v>
      </c>
      <c r="F1521" s="33">
        <v>3680833857</v>
      </c>
      <c r="G1521" s="33">
        <v>224365799</v>
      </c>
      <c r="H1521" s="32" t="s">
        <v>76</v>
      </c>
      <c r="I1521" s="32">
        <v>224365799</v>
      </c>
      <c r="J1521" s="32">
        <v>3905199656</v>
      </c>
      <c r="M1521" s="21">
        <v>113149000000</v>
      </c>
    </row>
    <row r="1522" spans="1:13">
      <c r="A1522" s="4">
        <v>45351</v>
      </c>
      <c r="B1522" s="32"/>
      <c r="C1522" s="32"/>
      <c r="D1522" s="33">
        <v>10316397750.5</v>
      </c>
      <c r="E1522" s="33">
        <v>1774071632.1700001</v>
      </c>
      <c r="F1522" s="33">
        <v>12090469382.67</v>
      </c>
      <c r="G1522" s="33">
        <v>330253107</v>
      </c>
      <c r="H1522" s="32" t="s">
        <v>76</v>
      </c>
      <c r="I1522" s="32">
        <v>330253107</v>
      </c>
      <c r="J1522" s="32">
        <v>12420722489.67</v>
      </c>
      <c r="M1522" s="21">
        <v>118475000000</v>
      </c>
    </row>
    <row r="1523" spans="1:13">
      <c r="A1523" s="4">
        <v>45352</v>
      </c>
      <c r="B1523" s="32"/>
      <c r="C1523" s="33"/>
      <c r="D1523" s="33">
        <v>3032551026</v>
      </c>
      <c r="E1523" s="33" t="s">
        <v>77</v>
      </c>
      <c r="F1523" s="33">
        <v>3032551026</v>
      </c>
      <c r="G1523" s="33">
        <v>458665574</v>
      </c>
      <c r="H1523" s="32">
        <v>100000000</v>
      </c>
      <c r="I1523" s="32">
        <v>558665574</v>
      </c>
      <c r="J1523" s="32">
        <v>3591216600</v>
      </c>
      <c r="M1523" s="21">
        <v>5682000000</v>
      </c>
    </row>
    <row r="1524" spans="1:13">
      <c r="A1524" s="4">
        <v>45353</v>
      </c>
      <c r="B1524" s="32"/>
      <c r="C1524" s="33"/>
      <c r="D1524" s="33" t="s">
        <v>75</v>
      </c>
      <c r="E1524" s="33" t="s">
        <v>77</v>
      </c>
      <c r="F1524" s="33" t="s">
        <v>46</v>
      </c>
      <c r="G1524" s="33" t="s">
        <v>46</v>
      </c>
      <c r="H1524" s="32" t="s">
        <v>76</v>
      </c>
      <c r="I1524" s="32" t="s">
        <v>46</v>
      </c>
      <c r="J1524" s="32" t="s">
        <v>46</v>
      </c>
      <c r="M1524" s="21">
        <v>5682000000</v>
      </c>
    </row>
    <row r="1525" spans="1:13">
      <c r="A1525" s="4">
        <v>45354</v>
      </c>
      <c r="B1525" s="32"/>
      <c r="C1525" s="33"/>
      <c r="D1525" s="33" t="s">
        <v>75</v>
      </c>
      <c r="E1525" s="33" t="s">
        <v>77</v>
      </c>
      <c r="F1525" s="33" t="s">
        <v>46</v>
      </c>
      <c r="G1525" s="33" t="s">
        <v>46</v>
      </c>
      <c r="H1525" s="32" t="s">
        <v>76</v>
      </c>
      <c r="I1525" s="32" t="s">
        <v>46</v>
      </c>
      <c r="J1525" s="32" t="s">
        <v>46</v>
      </c>
      <c r="M1525" s="21">
        <v>5682000000</v>
      </c>
    </row>
    <row r="1526" spans="1:13">
      <c r="A1526" s="4">
        <v>45355</v>
      </c>
      <c r="B1526" s="32"/>
      <c r="C1526" s="33"/>
      <c r="D1526" s="33">
        <v>8054371016</v>
      </c>
      <c r="E1526" s="33" t="s">
        <v>77</v>
      </c>
      <c r="F1526" s="33">
        <v>8054371016</v>
      </c>
      <c r="G1526" s="33">
        <v>518324800</v>
      </c>
      <c r="H1526" s="32" t="s">
        <v>76</v>
      </c>
      <c r="I1526" s="32">
        <v>518324800</v>
      </c>
      <c r="J1526" s="32">
        <v>8572695816</v>
      </c>
      <c r="M1526" s="21">
        <v>11266000000</v>
      </c>
    </row>
    <row r="1527" spans="1:13">
      <c r="A1527" s="4">
        <v>45356</v>
      </c>
      <c r="B1527" s="32"/>
      <c r="C1527" s="33"/>
      <c r="D1527" s="33">
        <v>4260963878</v>
      </c>
      <c r="E1527" s="33">
        <v>32400</v>
      </c>
      <c r="F1527" s="33">
        <v>4260996278</v>
      </c>
      <c r="G1527" s="33">
        <v>401302246</v>
      </c>
      <c r="H1527" s="32" t="s">
        <v>76</v>
      </c>
      <c r="I1527" s="32">
        <v>401302246</v>
      </c>
      <c r="J1527" s="32">
        <v>4662298524</v>
      </c>
      <c r="M1527" s="21">
        <v>16854000000</v>
      </c>
    </row>
    <row r="1528" spans="1:13">
      <c r="A1528" s="4">
        <v>45357</v>
      </c>
      <c r="B1528" s="32"/>
      <c r="C1528" s="33"/>
      <c r="D1528" s="33">
        <v>2366524340.0900002</v>
      </c>
      <c r="E1528" s="33" t="s">
        <v>77</v>
      </c>
      <c r="F1528" s="33">
        <v>2366524340.0900002</v>
      </c>
      <c r="G1528" s="33">
        <v>151415339</v>
      </c>
      <c r="H1528" s="32">
        <v>7834043810</v>
      </c>
      <c r="I1528" s="32">
        <v>7985459149</v>
      </c>
      <c r="J1528" s="32">
        <v>10351983489.09</v>
      </c>
      <c r="M1528" s="21">
        <v>22448000000</v>
      </c>
    </row>
    <row r="1529" spans="1:13">
      <c r="A1529" s="4">
        <v>45358</v>
      </c>
      <c r="B1529" s="32"/>
      <c r="C1529" s="33"/>
      <c r="D1529" s="33">
        <v>4950449793</v>
      </c>
      <c r="E1529" s="33">
        <v>1100</v>
      </c>
      <c r="F1529" s="33">
        <v>4950450893</v>
      </c>
      <c r="G1529" s="33">
        <v>371994859</v>
      </c>
      <c r="H1529" s="32">
        <v>100000000</v>
      </c>
      <c r="I1529" s="32">
        <v>471994859</v>
      </c>
      <c r="J1529" s="32">
        <v>5422445752</v>
      </c>
      <c r="M1529" s="21">
        <v>28034000000</v>
      </c>
    </row>
    <row r="1530" spans="1:13">
      <c r="A1530" s="4">
        <v>45359</v>
      </c>
      <c r="B1530" s="32"/>
      <c r="C1530" s="33"/>
      <c r="D1530" s="33" t="s">
        <v>75</v>
      </c>
      <c r="E1530" s="33" t="s">
        <v>77</v>
      </c>
      <c r="F1530" s="33" t="s">
        <v>46</v>
      </c>
      <c r="G1530" s="33">
        <v>169375897</v>
      </c>
      <c r="H1530" s="32" t="s">
        <v>76</v>
      </c>
      <c r="I1530" s="32">
        <v>169375897</v>
      </c>
      <c r="J1530" s="32">
        <v>169375897</v>
      </c>
      <c r="M1530" s="21">
        <v>28034000000</v>
      </c>
    </row>
    <row r="1531" spans="1:13">
      <c r="A1531" s="4">
        <v>45360</v>
      </c>
      <c r="B1531" s="32"/>
      <c r="C1531" s="33"/>
      <c r="D1531" s="33" t="s">
        <v>75</v>
      </c>
      <c r="E1531" s="33" t="s">
        <v>77</v>
      </c>
      <c r="F1531" s="33" t="s">
        <v>46</v>
      </c>
      <c r="G1531" s="33">
        <v>8699768</v>
      </c>
      <c r="H1531" s="32" t="s">
        <v>76</v>
      </c>
      <c r="I1531" s="32">
        <v>8699768</v>
      </c>
      <c r="J1531" s="32">
        <v>8699768</v>
      </c>
      <c r="M1531" s="21">
        <v>28034000000</v>
      </c>
    </row>
    <row r="1532" spans="1:13">
      <c r="A1532" s="4">
        <v>45361</v>
      </c>
      <c r="B1532" s="32"/>
      <c r="C1532" s="33"/>
      <c r="D1532" s="33" t="s">
        <v>75</v>
      </c>
      <c r="E1532" s="33" t="s">
        <v>77</v>
      </c>
      <c r="F1532" s="33" t="s">
        <v>46</v>
      </c>
      <c r="G1532" s="33">
        <v>13200</v>
      </c>
      <c r="H1532" s="32" t="s">
        <v>76</v>
      </c>
      <c r="I1532" s="32">
        <v>13200</v>
      </c>
      <c r="J1532" s="32">
        <v>13200</v>
      </c>
      <c r="M1532" s="21">
        <v>28034000000</v>
      </c>
    </row>
    <row r="1533" spans="1:13">
      <c r="A1533" s="4">
        <v>45362</v>
      </c>
      <c r="B1533" s="32"/>
      <c r="C1533" s="33"/>
      <c r="D1533" s="33">
        <v>4026771014</v>
      </c>
      <c r="E1533" s="33" t="s">
        <v>77</v>
      </c>
      <c r="F1533" s="33">
        <v>4026771014</v>
      </c>
      <c r="G1533" s="33">
        <v>317973058</v>
      </c>
      <c r="H1533" s="32" t="s">
        <v>76</v>
      </c>
      <c r="I1533" s="32">
        <v>317973058</v>
      </c>
      <c r="J1533" s="32">
        <v>4344744072</v>
      </c>
      <c r="M1533" s="21">
        <v>33617000000</v>
      </c>
    </row>
    <row r="1534" spans="1:13">
      <c r="A1534" s="4">
        <v>45363</v>
      </c>
      <c r="B1534" s="32"/>
      <c r="C1534" s="33"/>
      <c r="D1534" s="33">
        <v>8765589427.3999996</v>
      </c>
      <c r="E1534" s="33">
        <v>1100</v>
      </c>
      <c r="F1534" s="33">
        <v>8765590527.3999996</v>
      </c>
      <c r="G1534" s="33">
        <v>373668189</v>
      </c>
      <c r="H1534" s="32" t="s">
        <v>76</v>
      </c>
      <c r="I1534" s="32">
        <v>373668189</v>
      </c>
      <c r="J1534" s="32">
        <v>9139258716.3999996</v>
      </c>
      <c r="M1534" s="21">
        <v>39204000000</v>
      </c>
    </row>
    <row r="1535" spans="1:13">
      <c r="A1535" s="4">
        <v>45364</v>
      </c>
      <c r="B1535" s="32"/>
      <c r="C1535" s="33"/>
      <c r="D1535" s="33">
        <v>3317593895</v>
      </c>
      <c r="E1535" s="33">
        <v>3126500</v>
      </c>
      <c r="F1535" s="33">
        <v>3320720395</v>
      </c>
      <c r="G1535" s="33">
        <v>356910260.69</v>
      </c>
      <c r="H1535" s="32"/>
      <c r="I1535" s="32">
        <v>356910260.69</v>
      </c>
      <c r="J1535" s="32">
        <v>3677630655.6900001</v>
      </c>
      <c r="M1535" s="21">
        <v>44797000000</v>
      </c>
    </row>
    <row r="1536" spans="1:13">
      <c r="A1536" s="4">
        <v>45365</v>
      </c>
      <c r="B1536" s="32"/>
      <c r="C1536" s="33">
        <v>2671378467</v>
      </c>
      <c r="D1536" s="33">
        <v>464397050</v>
      </c>
      <c r="E1536" s="33" t="s">
        <v>77</v>
      </c>
      <c r="F1536" s="33">
        <v>464397050</v>
      </c>
      <c r="G1536" s="33">
        <v>129007774</v>
      </c>
      <c r="H1536" s="32" t="s">
        <v>76</v>
      </c>
      <c r="I1536" s="32">
        <v>129007774</v>
      </c>
      <c r="J1536" s="32">
        <v>593404824</v>
      </c>
      <c r="M1536" s="21">
        <v>50383000000</v>
      </c>
    </row>
    <row r="1537" spans="1:13">
      <c r="A1537" s="4">
        <v>45366</v>
      </c>
      <c r="B1537" s="32"/>
      <c r="C1537" s="33"/>
      <c r="D1537" s="33">
        <v>4008362359.48</v>
      </c>
      <c r="E1537" s="33" t="s">
        <v>77</v>
      </c>
      <c r="F1537" s="33">
        <v>4008362359.48</v>
      </c>
      <c r="G1537" s="33">
        <v>206173786</v>
      </c>
      <c r="H1537" s="32">
        <v>100000000</v>
      </c>
      <c r="I1537" s="32">
        <v>306173786</v>
      </c>
      <c r="J1537" s="32">
        <v>4314536145.4799995</v>
      </c>
      <c r="M1537" s="21">
        <v>67682000000</v>
      </c>
    </row>
    <row r="1538" spans="1:13">
      <c r="A1538" s="4">
        <v>45367</v>
      </c>
      <c r="B1538" s="32"/>
      <c r="C1538" s="33"/>
      <c r="D1538" s="33" t="s">
        <v>75</v>
      </c>
      <c r="E1538" s="33" t="s">
        <v>77</v>
      </c>
      <c r="F1538" s="33" t="s">
        <v>46</v>
      </c>
      <c r="G1538" s="33">
        <v>182492109</v>
      </c>
      <c r="H1538" s="32" t="s">
        <v>76</v>
      </c>
      <c r="I1538" s="32">
        <v>182492109</v>
      </c>
      <c r="J1538" s="32">
        <v>182492109</v>
      </c>
      <c r="M1538" s="21">
        <v>67682000000</v>
      </c>
    </row>
    <row r="1539" spans="1:13">
      <c r="A1539" s="4">
        <v>45368</v>
      </c>
      <c r="B1539" s="32"/>
      <c r="C1539" s="33"/>
      <c r="D1539" s="33" t="s">
        <v>75</v>
      </c>
      <c r="E1539" s="33" t="s">
        <v>77</v>
      </c>
      <c r="F1539" s="33" t="s">
        <v>46</v>
      </c>
      <c r="G1539" s="33" t="s">
        <v>46</v>
      </c>
      <c r="H1539" s="32" t="s">
        <v>76</v>
      </c>
      <c r="I1539" s="32" t="s">
        <v>46</v>
      </c>
      <c r="J1539" s="32" t="s">
        <v>46</v>
      </c>
      <c r="M1539" s="21">
        <v>67682000000</v>
      </c>
    </row>
    <row r="1540" spans="1:13">
      <c r="A1540" s="4">
        <v>45369</v>
      </c>
      <c r="B1540" s="32"/>
      <c r="C1540" s="33"/>
      <c r="D1540" s="33">
        <v>3086745694</v>
      </c>
      <c r="E1540" s="33" t="s">
        <v>77</v>
      </c>
      <c r="F1540" s="33">
        <v>3086745694</v>
      </c>
      <c r="G1540" s="33">
        <v>142580034</v>
      </c>
      <c r="H1540" s="32" t="s">
        <v>76</v>
      </c>
      <c r="I1540" s="32">
        <v>142580034</v>
      </c>
      <c r="J1540" s="32">
        <v>3229325728</v>
      </c>
      <c r="M1540" s="21">
        <v>73265000000</v>
      </c>
    </row>
    <row r="1541" spans="1:13">
      <c r="A1541" s="4">
        <v>45370</v>
      </c>
      <c r="B1541" s="32"/>
      <c r="C1541" s="33"/>
      <c r="D1541" s="33">
        <v>3686369949</v>
      </c>
      <c r="E1541" s="33" t="s">
        <v>77</v>
      </c>
      <c r="F1541" s="33">
        <v>3686369949</v>
      </c>
      <c r="G1541" s="33">
        <v>711082461</v>
      </c>
      <c r="H1541" s="32" t="s">
        <v>76</v>
      </c>
      <c r="I1541" s="32">
        <v>711082461</v>
      </c>
      <c r="J1541" s="32">
        <v>4397452410</v>
      </c>
      <c r="M1541" s="21">
        <v>78852000000</v>
      </c>
    </row>
    <row r="1542" spans="1:13">
      <c r="A1542" s="4">
        <v>45371</v>
      </c>
      <c r="B1542" s="32"/>
      <c r="C1542" s="33"/>
      <c r="D1542" s="33">
        <v>4718598384.4499998</v>
      </c>
      <c r="E1542" s="33">
        <v>2200</v>
      </c>
      <c r="F1542" s="33">
        <v>4718600584.4499998</v>
      </c>
      <c r="G1542" s="33">
        <v>179901936</v>
      </c>
      <c r="H1542" s="32" t="s">
        <v>76</v>
      </c>
      <c r="I1542" s="32">
        <v>179901936</v>
      </c>
      <c r="J1542" s="32">
        <v>4898502520.4499998</v>
      </c>
      <c r="M1542" s="21">
        <v>84444000000</v>
      </c>
    </row>
    <row r="1543" spans="1:13">
      <c r="A1543" s="4">
        <v>45372</v>
      </c>
      <c r="B1543" s="32"/>
      <c r="C1543" s="33"/>
      <c r="D1543" s="33">
        <v>2803275906.4000001</v>
      </c>
      <c r="E1543" s="33" t="s">
        <v>77</v>
      </c>
      <c r="F1543" s="33">
        <v>2803275906.4000001</v>
      </c>
      <c r="G1543" s="33">
        <v>99952947</v>
      </c>
      <c r="H1543" s="32" t="s">
        <v>76</v>
      </c>
      <c r="I1543" s="32">
        <v>99952947</v>
      </c>
      <c r="J1543" s="32">
        <v>2903228853.4000001</v>
      </c>
      <c r="M1543" s="21">
        <v>90029000000</v>
      </c>
    </row>
    <row r="1544" spans="1:13">
      <c r="A1544" s="4">
        <v>45373</v>
      </c>
      <c r="B1544" s="32"/>
      <c r="C1544" s="33"/>
      <c r="D1544" s="33">
        <v>3115412683</v>
      </c>
      <c r="E1544" s="33">
        <v>1026000</v>
      </c>
      <c r="F1544" s="33">
        <v>3116438683</v>
      </c>
      <c r="G1544" s="33">
        <v>722798378</v>
      </c>
      <c r="H1544" s="32">
        <v>100000000</v>
      </c>
      <c r="I1544" s="32">
        <v>822798378</v>
      </c>
      <c r="J1544" s="32">
        <v>3939237061</v>
      </c>
      <c r="M1544" s="21">
        <v>95711000000</v>
      </c>
    </row>
    <row r="1545" spans="1:13">
      <c r="A1545" s="4">
        <v>45374</v>
      </c>
      <c r="B1545" s="32"/>
      <c r="C1545" s="33"/>
      <c r="D1545" s="33" t="s">
        <v>75</v>
      </c>
      <c r="E1545" s="33" t="s">
        <v>77</v>
      </c>
      <c r="F1545" s="33" t="s">
        <v>46</v>
      </c>
      <c r="G1545" s="33">
        <v>16496161</v>
      </c>
      <c r="H1545" s="32" t="s">
        <v>76</v>
      </c>
      <c r="I1545" s="32">
        <v>16496161</v>
      </c>
      <c r="J1545" s="32">
        <v>16496161</v>
      </c>
      <c r="M1545" s="21">
        <v>95711000000</v>
      </c>
    </row>
    <row r="1546" spans="1:13">
      <c r="A1546" s="4">
        <v>45375</v>
      </c>
      <c r="B1546" s="32"/>
      <c r="C1546" s="33"/>
      <c r="D1546" s="33"/>
      <c r="E1546" s="33"/>
      <c r="F1546" s="33" t="s">
        <v>46</v>
      </c>
      <c r="G1546" s="33"/>
      <c r="H1546" s="32"/>
      <c r="I1546" s="32" t="s">
        <v>46</v>
      </c>
      <c r="J1546" s="32" t="s">
        <v>46</v>
      </c>
      <c r="M1546" s="21">
        <v>95711000000</v>
      </c>
    </row>
    <row r="1547" spans="1:13">
      <c r="A1547" s="4">
        <v>45376</v>
      </c>
      <c r="B1547" s="32"/>
      <c r="C1547" s="33"/>
      <c r="D1547" s="33">
        <v>10362793997.200001</v>
      </c>
      <c r="E1547" s="33" t="s">
        <v>77</v>
      </c>
      <c r="F1547" s="33">
        <v>10362793997.200001</v>
      </c>
      <c r="G1547" s="33">
        <v>195099119</v>
      </c>
      <c r="H1547" s="32" t="s">
        <v>76</v>
      </c>
      <c r="I1547" s="32">
        <v>195099119</v>
      </c>
      <c r="J1547" s="32">
        <v>10557893116.200001</v>
      </c>
      <c r="M1547" s="21">
        <v>101293000000</v>
      </c>
    </row>
    <row r="1548" spans="1:13">
      <c r="A1548" s="4">
        <v>45377</v>
      </c>
      <c r="B1548" s="32"/>
      <c r="C1548" s="33"/>
      <c r="D1548" s="33">
        <v>7830545397</v>
      </c>
      <c r="E1548" s="33">
        <v>2709850</v>
      </c>
      <c r="F1548" s="33">
        <v>7833255247</v>
      </c>
      <c r="G1548" s="33">
        <v>284300573</v>
      </c>
      <c r="H1548" s="32" t="s">
        <v>76</v>
      </c>
      <c r="I1548" s="32">
        <v>284300573</v>
      </c>
      <c r="J1548" s="32">
        <v>8117555820</v>
      </c>
      <c r="M1548" s="21">
        <v>106880000000</v>
      </c>
    </row>
    <row r="1549" spans="1:13">
      <c r="A1549" s="4">
        <v>45378</v>
      </c>
      <c r="B1549" s="32"/>
      <c r="C1549" s="33"/>
      <c r="D1549" s="33">
        <v>8670782095</v>
      </c>
      <c r="E1549" s="33">
        <v>13222515</v>
      </c>
      <c r="F1549" s="33">
        <v>8684004610</v>
      </c>
      <c r="G1549" s="33">
        <v>149098864</v>
      </c>
      <c r="H1549" s="32" t="s">
        <v>76</v>
      </c>
      <c r="I1549" s="32">
        <v>149098864</v>
      </c>
      <c r="J1549" s="32">
        <v>8833103474</v>
      </c>
      <c r="M1549" s="21">
        <v>112471000000</v>
      </c>
    </row>
    <row r="1550" spans="1:13">
      <c r="A1550" s="4">
        <v>45379</v>
      </c>
      <c r="B1550" s="32"/>
      <c r="C1550" s="33"/>
      <c r="D1550" s="33">
        <v>6639045318.1199999</v>
      </c>
      <c r="E1550" s="33">
        <v>1078800212.3900001</v>
      </c>
      <c r="F1550" s="33">
        <v>7717845530.5100002</v>
      </c>
      <c r="G1550" s="33">
        <v>688667118</v>
      </c>
      <c r="H1550" s="32">
        <v>100000000</v>
      </c>
      <c r="I1550" s="32">
        <v>788667118</v>
      </c>
      <c r="J1550" s="32">
        <v>8506512648.5100002</v>
      </c>
      <c r="M1550" s="21">
        <v>118055000000</v>
      </c>
    </row>
    <row r="1551" spans="1:13">
      <c r="A1551" s="4">
        <v>45380</v>
      </c>
      <c r="B1551" s="32"/>
      <c r="C1551" s="33"/>
      <c r="D1551" s="33" t="s">
        <v>75</v>
      </c>
      <c r="E1551" s="33" t="s">
        <v>77</v>
      </c>
      <c r="F1551" s="33" t="s">
        <v>46</v>
      </c>
      <c r="G1551" s="33">
        <v>29018157</v>
      </c>
      <c r="H1551" s="32" t="s">
        <v>76</v>
      </c>
      <c r="I1551" s="32">
        <v>29018157</v>
      </c>
      <c r="J1551" s="32">
        <v>29018157</v>
      </c>
      <c r="M1551" s="21">
        <v>118055000000</v>
      </c>
    </row>
    <row r="1552" spans="1:13">
      <c r="A1552" s="4">
        <v>45381</v>
      </c>
      <c r="B1552" s="32"/>
      <c r="C1552" s="33"/>
      <c r="D1552" s="33" t="s">
        <v>75</v>
      </c>
      <c r="E1552" s="33" t="s">
        <v>77</v>
      </c>
      <c r="F1552" s="33" t="s">
        <v>46</v>
      </c>
      <c r="G1552" s="33">
        <v>2539600</v>
      </c>
      <c r="H1552" s="32" t="s">
        <v>76</v>
      </c>
      <c r="I1552" s="32">
        <v>2539600</v>
      </c>
      <c r="J1552" s="32">
        <v>2539600</v>
      </c>
      <c r="M1552" s="21">
        <v>118055000000</v>
      </c>
    </row>
    <row r="1553" spans="1:13">
      <c r="A1553" s="4">
        <v>45382</v>
      </c>
      <c r="B1553" s="32"/>
      <c r="C1553" s="33"/>
      <c r="D1553" s="33" t="s">
        <v>75</v>
      </c>
      <c r="E1553" s="33" t="s">
        <v>77</v>
      </c>
      <c r="F1553" s="33" t="s">
        <v>46</v>
      </c>
      <c r="G1553" s="33" t="s">
        <v>46</v>
      </c>
      <c r="H1553" s="32" t="s">
        <v>76</v>
      </c>
      <c r="I1553" s="32" t="s">
        <v>46</v>
      </c>
      <c r="J1553" s="32" t="s">
        <v>46</v>
      </c>
      <c r="M1553" s="21">
        <v>118055000000</v>
      </c>
    </row>
    <row r="1554" spans="1:13">
      <c r="A1554" s="4">
        <v>45383</v>
      </c>
      <c r="B1554" s="32"/>
      <c r="C1554" s="32"/>
      <c r="D1554" s="33">
        <v>7046324222.6499996</v>
      </c>
      <c r="E1554" s="33" t="s">
        <v>77</v>
      </c>
      <c r="F1554" s="33">
        <v>7046324222.6499996</v>
      </c>
      <c r="G1554" s="33">
        <v>380024177</v>
      </c>
      <c r="H1554" s="33" t="s">
        <v>76</v>
      </c>
      <c r="I1554" s="32">
        <v>380024177</v>
      </c>
      <c r="J1554" s="32">
        <v>7426348399.6499996</v>
      </c>
      <c r="M1554" s="21">
        <v>8235000000</v>
      </c>
    </row>
    <row r="1555" spans="1:13">
      <c r="A1555" s="4">
        <v>45384</v>
      </c>
      <c r="B1555" s="32"/>
      <c r="C1555" s="32"/>
      <c r="D1555" s="33">
        <v>4776482857</v>
      </c>
      <c r="E1555" s="33">
        <v>1112000</v>
      </c>
      <c r="F1555" s="33">
        <v>4777594857</v>
      </c>
      <c r="G1555" s="33">
        <v>418282033</v>
      </c>
      <c r="H1555" s="33" t="s">
        <v>76</v>
      </c>
      <c r="I1555" s="32">
        <v>418282033</v>
      </c>
      <c r="J1555" s="32">
        <v>5195876890</v>
      </c>
      <c r="M1555" s="21">
        <v>16476000000</v>
      </c>
    </row>
    <row r="1556" spans="1:13">
      <c r="A1556" s="4">
        <v>45385</v>
      </c>
      <c r="B1556" s="32"/>
      <c r="C1556" s="32"/>
      <c r="D1556" s="33">
        <v>6704620527</v>
      </c>
      <c r="E1556" s="33" t="s">
        <v>77</v>
      </c>
      <c r="F1556" s="33">
        <v>6704620527</v>
      </c>
      <c r="G1556" s="33">
        <v>545297983</v>
      </c>
      <c r="H1556" s="33"/>
      <c r="I1556" s="32">
        <v>545297983</v>
      </c>
      <c r="J1556" s="32">
        <v>7249918510</v>
      </c>
      <c r="M1556" s="21">
        <v>24712000000</v>
      </c>
    </row>
    <row r="1557" spans="1:13">
      <c r="A1557" s="4">
        <v>45386</v>
      </c>
      <c r="B1557" s="32"/>
      <c r="C1557" s="32"/>
      <c r="D1557" s="33">
        <v>5404312083</v>
      </c>
      <c r="E1557" s="33">
        <v>5030240</v>
      </c>
      <c r="F1557" s="33">
        <v>5409342323</v>
      </c>
      <c r="G1557" s="33">
        <v>180268145</v>
      </c>
      <c r="H1557" s="33">
        <v>8412205180</v>
      </c>
      <c r="I1557" s="32">
        <v>8592473325</v>
      </c>
      <c r="J1557" s="32">
        <v>14001815648</v>
      </c>
      <c r="M1557" s="21">
        <v>33041000000</v>
      </c>
    </row>
    <row r="1558" spans="1:13">
      <c r="A1558" s="4">
        <v>45387</v>
      </c>
      <c r="B1558" s="32"/>
      <c r="C1558" s="32"/>
      <c r="D1558" s="33" t="s">
        <v>78</v>
      </c>
      <c r="E1558" s="33" t="s">
        <v>77</v>
      </c>
      <c r="F1558" s="33" t="s">
        <v>46</v>
      </c>
      <c r="G1558" s="33">
        <v>177832916</v>
      </c>
      <c r="H1558" s="33" t="s">
        <v>76</v>
      </c>
      <c r="I1558" s="32">
        <v>177832916</v>
      </c>
      <c r="J1558" s="32">
        <v>177832916</v>
      </c>
      <c r="M1558" s="21">
        <v>33041000000</v>
      </c>
    </row>
    <row r="1559" spans="1:13">
      <c r="A1559" s="4">
        <v>45388</v>
      </c>
      <c r="B1559" s="32"/>
      <c r="C1559" s="32"/>
      <c r="D1559" s="33" t="s">
        <v>78</v>
      </c>
      <c r="E1559" s="33" t="s">
        <v>77</v>
      </c>
      <c r="F1559" s="33" t="s">
        <v>46</v>
      </c>
      <c r="G1559" s="33">
        <v>2101300</v>
      </c>
      <c r="H1559" s="33" t="s">
        <v>76</v>
      </c>
      <c r="I1559" s="32">
        <v>2101300</v>
      </c>
      <c r="J1559" s="32">
        <v>2101300</v>
      </c>
      <c r="M1559" s="21">
        <v>33041000000</v>
      </c>
    </row>
    <row r="1560" spans="1:13">
      <c r="A1560" s="4">
        <v>45389</v>
      </c>
      <c r="B1560" s="32"/>
      <c r="C1560" s="32"/>
      <c r="D1560" s="33">
        <v>10584564052</v>
      </c>
      <c r="E1560" s="33" t="s">
        <v>77</v>
      </c>
      <c r="F1560" s="33">
        <v>10584564052</v>
      </c>
      <c r="G1560" s="33">
        <v>460002146</v>
      </c>
      <c r="H1560" s="33" t="s">
        <v>76</v>
      </c>
      <c r="I1560" s="32">
        <v>460002146</v>
      </c>
      <c r="J1560" s="32">
        <v>11044566198</v>
      </c>
      <c r="M1560" s="21">
        <v>41275000000</v>
      </c>
    </row>
    <row r="1561" spans="1:13">
      <c r="A1561" s="4">
        <v>45390</v>
      </c>
      <c r="B1561" s="32"/>
      <c r="C1561" s="32"/>
      <c r="D1561" s="33">
        <v>14725100569</v>
      </c>
      <c r="E1561" s="33">
        <v>965125</v>
      </c>
      <c r="F1561" s="33">
        <v>14726065694</v>
      </c>
      <c r="G1561" s="33">
        <v>353826225</v>
      </c>
      <c r="H1561" s="33" t="s">
        <v>76</v>
      </c>
      <c r="I1561" s="32">
        <v>353826225</v>
      </c>
      <c r="J1561" s="32">
        <v>15079891919</v>
      </c>
      <c r="M1561" s="21">
        <v>49512000000</v>
      </c>
    </row>
    <row r="1562" spans="1:13">
      <c r="A1562" s="4">
        <v>45391</v>
      </c>
      <c r="B1562" s="32"/>
      <c r="C1562" s="32"/>
      <c r="D1562" s="33">
        <v>8278781322.3999996</v>
      </c>
      <c r="E1562" s="33" t="s">
        <v>79</v>
      </c>
      <c r="F1562" s="33">
        <v>8278781322.3999996</v>
      </c>
      <c r="G1562" s="33">
        <v>316575059</v>
      </c>
      <c r="H1562" s="33" t="s">
        <v>50</v>
      </c>
      <c r="I1562" s="32">
        <v>316575059</v>
      </c>
      <c r="J1562" s="32">
        <v>8595356381.3999996</v>
      </c>
      <c r="M1562" s="21">
        <v>57754000000</v>
      </c>
    </row>
    <row r="1563" spans="1:13">
      <c r="A1563" s="4">
        <v>45392</v>
      </c>
      <c r="B1563" s="32"/>
      <c r="C1563" s="32"/>
      <c r="D1563" s="33">
        <v>7528430895</v>
      </c>
      <c r="E1563" s="33" t="s">
        <v>77</v>
      </c>
      <c r="F1563" s="33">
        <v>7528430895</v>
      </c>
      <c r="G1563" s="33">
        <v>298408815</v>
      </c>
      <c r="H1563" s="33" t="s">
        <v>76</v>
      </c>
      <c r="I1563" s="32">
        <v>298408815</v>
      </c>
      <c r="J1563" s="32">
        <v>7826839710</v>
      </c>
      <c r="M1563" s="21">
        <v>65992000000</v>
      </c>
    </row>
    <row r="1564" spans="1:13">
      <c r="A1564" s="4">
        <v>45393</v>
      </c>
      <c r="B1564" s="32"/>
      <c r="C1564" s="32"/>
      <c r="D1564" s="33">
        <v>10194001031</v>
      </c>
      <c r="E1564" s="33" t="s">
        <v>77</v>
      </c>
      <c r="F1564" s="33">
        <v>10194001031</v>
      </c>
      <c r="G1564" s="33">
        <v>485508543</v>
      </c>
      <c r="H1564" s="33">
        <v>100000000</v>
      </c>
      <c r="I1564" s="32">
        <v>585508543</v>
      </c>
      <c r="J1564" s="32">
        <v>10779509574</v>
      </c>
      <c r="M1564" s="21">
        <v>86531000000</v>
      </c>
    </row>
    <row r="1565" spans="1:13">
      <c r="A1565" s="4">
        <v>45394</v>
      </c>
      <c r="B1565" s="32"/>
      <c r="C1565" s="32"/>
      <c r="D1565" s="33" t="s">
        <v>78</v>
      </c>
      <c r="E1565" s="33" t="s">
        <v>77</v>
      </c>
      <c r="F1565" s="33" t="s">
        <v>46</v>
      </c>
      <c r="G1565" s="33">
        <v>169304338</v>
      </c>
      <c r="H1565" s="33" t="s">
        <v>76</v>
      </c>
      <c r="I1565" s="32">
        <v>169304338</v>
      </c>
      <c r="J1565" s="32">
        <v>169304338</v>
      </c>
      <c r="M1565" s="21">
        <v>86531000000</v>
      </c>
    </row>
    <row r="1566" spans="1:13" ht="30.75">
      <c r="A1566" s="4">
        <v>45395</v>
      </c>
      <c r="B1566" s="32"/>
      <c r="C1566" s="32"/>
      <c r="D1566" s="33" t="s">
        <v>78</v>
      </c>
      <c r="E1566" s="33" t="s">
        <v>77</v>
      </c>
      <c r="F1566" s="33" t="s">
        <v>46</v>
      </c>
      <c r="G1566" s="33" t="s">
        <v>81</v>
      </c>
      <c r="H1566" s="33" t="s">
        <v>76</v>
      </c>
      <c r="I1566" s="32" t="s">
        <v>46</v>
      </c>
      <c r="J1566" s="32" t="s">
        <v>46</v>
      </c>
      <c r="M1566" s="21">
        <v>86531000000</v>
      </c>
    </row>
    <row r="1567" spans="1:13">
      <c r="A1567" s="4">
        <v>45396</v>
      </c>
      <c r="B1567" s="32"/>
      <c r="C1567" s="32"/>
      <c r="D1567" s="33" t="s">
        <v>78</v>
      </c>
      <c r="E1567" s="33" t="s">
        <v>77</v>
      </c>
      <c r="F1567" s="33" t="s">
        <v>46</v>
      </c>
      <c r="G1567" s="33" t="s">
        <v>46</v>
      </c>
      <c r="H1567" s="33" t="s">
        <v>76</v>
      </c>
      <c r="I1567" s="32" t="s">
        <v>46</v>
      </c>
      <c r="J1567" s="32" t="s">
        <v>46</v>
      </c>
      <c r="M1567" s="21">
        <v>86531000000</v>
      </c>
    </row>
    <row r="1568" spans="1:13">
      <c r="A1568" s="4">
        <v>45397</v>
      </c>
      <c r="B1568" s="32"/>
      <c r="C1568" s="32"/>
      <c r="D1568" s="33" t="s">
        <v>78</v>
      </c>
      <c r="E1568" s="33" t="s">
        <v>77</v>
      </c>
      <c r="F1568" s="33" t="s">
        <v>46</v>
      </c>
      <c r="G1568" s="33">
        <v>10826808</v>
      </c>
      <c r="H1568" s="33" t="s">
        <v>76</v>
      </c>
      <c r="I1568" s="32">
        <v>10826808</v>
      </c>
      <c r="J1568" s="32">
        <v>10826808</v>
      </c>
      <c r="M1568" s="21">
        <v>86531000000</v>
      </c>
    </row>
    <row r="1569" spans="1:13">
      <c r="A1569" s="4">
        <v>45398</v>
      </c>
      <c r="B1569" s="32"/>
      <c r="C1569" s="32"/>
      <c r="D1569" s="33">
        <v>5885747425</v>
      </c>
      <c r="E1569" s="33" t="s">
        <v>77</v>
      </c>
      <c r="F1569" s="33">
        <v>5885747425</v>
      </c>
      <c r="G1569" s="33">
        <v>143546807</v>
      </c>
      <c r="H1569" s="33" t="s">
        <v>76</v>
      </c>
      <c r="I1569" s="32">
        <v>143546807</v>
      </c>
      <c r="J1569" s="32">
        <v>6029294232</v>
      </c>
      <c r="M1569" s="21">
        <v>94771000000</v>
      </c>
    </row>
    <row r="1570" spans="1:13">
      <c r="A1570" s="4">
        <v>45399</v>
      </c>
      <c r="B1570" s="32"/>
      <c r="C1570" s="32"/>
      <c r="D1570" s="33">
        <v>6068999133</v>
      </c>
      <c r="E1570" s="33">
        <v>99066</v>
      </c>
      <c r="F1570" s="33">
        <v>6069098199</v>
      </c>
      <c r="G1570" s="33">
        <v>327789034</v>
      </c>
      <c r="H1570" s="33">
        <v>100000000</v>
      </c>
      <c r="I1570" s="32">
        <v>427789034</v>
      </c>
      <c r="J1570" s="32">
        <v>6496887233</v>
      </c>
      <c r="M1570" s="21">
        <v>103009000000</v>
      </c>
    </row>
    <row r="1571" spans="1:13">
      <c r="A1571" s="4">
        <v>45400</v>
      </c>
      <c r="B1571" s="32"/>
      <c r="C1571" s="32"/>
      <c r="D1571" s="33" t="s">
        <v>78</v>
      </c>
      <c r="E1571" s="33" t="s">
        <v>77</v>
      </c>
      <c r="F1571" s="33" t="s">
        <v>46</v>
      </c>
      <c r="G1571" s="33">
        <v>170350320</v>
      </c>
      <c r="H1571" s="33" t="s">
        <v>76</v>
      </c>
      <c r="I1571" s="32">
        <v>170350320</v>
      </c>
      <c r="J1571" s="32">
        <v>170350320</v>
      </c>
      <c r="M1571" s="21">
        <v>103009000000</v>
      </c>
    </row>
    <row r="1572" spans="1:13">
      <c r="A1572" s="4">
        <v>45401</v>
      </c>
      <c r="B1572" s="32"/>
      <c r="C1572" s="32"/>
      <c r="D1572" s="33" t="s">
        <v>78</v>
      </c>
      <c r="E1572" s="33" t="s">
        <v>77</v>
      </c>
      <c r="F1572" s="33" t="s">
        <v>46</v>
      </c>
      <c r="G1572" s="33">
        <v>802200</v>
      </c>
      <c r="H1572" s="33" t="s">
        <v>76</v>
      </c>
      <c r="I1572" s="32">
        <v>802200</v>
      </c>
      <c r="J1572" s="32">
        <v>802200</v>
      </c>
      <c r="M1572" s="21">
        <v>103009000000</v>
      </c>
    </row>
    <row r="1573" spans="1:13">
      <c r="A1573" s="4">
        <v>45402</v>
      </c>
      <c r="B1573" s="32"/>
      <c r="C1573" s="32"/>
      <c r="D1573" s="33" t="s">
        <v>78</v>
      </c>
      <c r="E1573" s="33" t="s">
        <v>77</v>
      </c>
      <c r="F1573" s="33" t="s">
        <v>46</v>
      </c>
      <c r="G1573" s="33">
        <v>23712487</v>
      </c>
      <c r="H1573" s="33" t="s">
        <v>76</v>
      </c>
      <c r="I1573" s="32">
        <v>23712487</v>
      </c>
      <c r="J1573" s="32">
        <v>23712487</v>
      </c>
      <c r="M1573" s="21">
        <v>103009000000</v>
      </c>
    </row>
    <row r="1574" spans="1:13">
      <c r="A1574" s="4">
        <v>45403</v>
      </c>
      <c r="B1574" s="32"/>
      <c r="C1574" s="32"/>
      <c r="D1574" s="33">
        <v>8520326640</v>
      </c>
      <c r="E1574" s="33"/>
      <c r="F1574" s="33">
        <v>8520326640</v>
      </c>
      <c r="G1574" s="33">
        <v>264598261</v>
      </c>
      <c r="H1574" s="33" t="s">
        <v>76</v>
      </c>
      <c r="I1574" s="32">
        <v>264598261</v>
      </c>
      <c r="J1574" s="32">
        <v>8784924901</v>
      </c>
      <c r="M1574" s="21">
        <v>111244000000</v>
      </c>
    </row>
    <row r="1575" spans="1:13">
      <c r="A1575" s="4">
        <v>45404</v>
      </c>
      <c r="B1575" s="32"/>
      <c r="C1575" s="32"/>
      <c r="D1575" s="33">
        <v>11510214766.5</v>
      </c>
      <c r="E1575" s="33">
        <v>1923305.39</v>
      </c>
      <c r="F1575" s="33">
        <v>11512138071.889999</v>
      </c>
      <c r="G1575" s="33">
        <v>606719669</v>
      </c>
      <c r="H1575" s="33" t="s">
        <v>76</v>
      </c>
      <c r="I1575" s="32">
        <v>606719669</v>
      </c>
      <c r="J1575" s="32">
        <v>12118857740.889999</v>
      </c>
      <c r="M1575" s="21">
        <v>119481000000</v>
      </c>
    </row>
    <row r="1576" spans="1:13">
      <c r="A1576" s="4">
        <v>45405</v>
      </c>
      <c r="B1576" s="32"/>
      <c r="C1576" s="32"/>
      <c r="D1576" s="33">
        <v>13859369171.4</v>
      </c>
      <c r="E1576" s="33" t="s">
        <v>77</v>
      </c>
      <c r="F1576" s="33">
        <v>13859369171.4</v>
      </c>
      <c r="G1576" s="33">
        <v>340520032</v>
      </c>
      <c r="H1576" s="33" t="s">
        <v>76</v>
      </c>
      <c r="I1576" s="32">
        <v>340520032</v>
      </c>
      <c r="J1576" s="32">
        <v>14199889203.4</v>
      </c>
      <c r="M1576" s="21">
        <v>127721000000</v>
      </c>
    </row>
    <row r="1577" spans="1:13">
      <c r="A1577" s="4">
        <v>45406</v>
      </c>
      <c r="B1577" s="32"/>
      <c r="C1577" s="32"/>
      <c r="D1577" s="33">
        <v>8128531666.1999998</v>
      </c>
      <c r="E1577" s="33" t="s">
        <v>77</v>
      </c>
      <c r="F1577" s="33">
        <v>8128531666.1999998</v>
      </c>
      <c r="G1577" s="33">
        <v>341255924</v>
      </c>
      <c r="H1577" s="33" t="s">
        <v>76</v>
      </c>
      <c r="I1577" s="32">
        <v>341255924</v>
      </c>
      <c r="J1577" s="32">
        <v>8469787590.1999998</v>
      </c>
      <c r="M1577" s="21">
        <v>135957000000</v>
      </c>
    </row>
    <row r="1578" spans="1:13">
      <c r="A1578" s="4">
        <v>45407</v>
      </c>
      <c r="B1578" s="32"/>
      <c r="C1578" s="32"/>
      <c r="D1578" s="33">
        <v>22130840298</v>
      </c>
      <c r="E1578" s="33">
        <v>401179856.27999997</v>
      </c>
      <c r="F1578" s="33">
        <v>22532020154.279999</v>
      </c>
      <c r="G1578" s="33">
        <v>621082886</v>
      </c>
      <c r="H1578" s="33">
        <v>100000000</v>
      </c>
      <c r="I1578" s="32">
        <v>721082886</v>
      </c>
      <c r="J1578" s="32">
        <v>23253103040.279999</v>
      </c>
      <c r="M1578" s="21">
        <v>144287000000</v>
      </c>
    </row>
    <row r="1579" spans="1:13">
      <c r="A1579" s="4">
        <v>45408</v>
      </c>
      <c r="B1579" s="32"/>
      <c r="C1579" s="32"/>
      <c r="D1579" s="33" t="s">
        <v>78</v>
      </c>
      <c r="E1579" s="33"/>
      <c r="F1579" s="33" t="s">
        <v>46</v>
      </c>
      <c r="G1579" s="33">
        <v>12473124</v>
      </c>
      <c r="H1579" s="33" t="s">
        <v>76</v>
      </c>
      <c r="I1579" s="32">
        <v>12473124</v>
      </c>
      <c r="J1579" s="32">
        <v>12473124</v>
      </c>
      <c r="M1579" s="21">
        <v>144287000000</v>
      </c>
    </row>
    <row r="1580" spans="1:13">
      <c r="A1580" s="4">
        <v>45409</v>
      </c>
      <c r="B1580" s="32"/>
      <c r="C1580" s="32"/>
      <c r="D1580" s="33" t="s">
        <v>78</v>
      </c>
      <c r="E1580" s="33"/>
      <c r="F1580" s="33" t="s">
        <v>46</v>
      </c>
      <c r="G1580" s="33">
        <v>12914250</v>
      </c>
      <c r="H1580" s="33"/>
      <c r="I1580" s="32">
        <v>12914250</v>
      </c>
      <c r="J1580" s="32">
        <v>12914250</v>
      </c>
      <c r="M1580" s="21">
        <v>144287000000</v>
      </c>
    </row>
    <row r="1581" spans="1:13">
      <c r="A1581" s="4">
        <v>45410</v>
      </c>
      <c r="B1581" s="32"/>
      <c r="C1581" s="32"/>
      <c r="D1581" s="33">
        <v>7572019677.1999998</v>
      </c>
      <c r="E1581" s="33">
        <v>323340.11</v>
      </c>
      <c r="F1581" s="33">
        <v>7572343017.3100004</v>
      </c>
      <c r="G1581" s="33">
        <v>314459110.08999997</v>
      </c>
      <c r="H1581" s="33" t="s">
        <v>50</v>
      </c>
      <c r="I1581" s="32">
        <v>314459110.08999997</v>
      </c>
      <c r="J1581" s="32">
        <v>7886802127.3999996</v>
      </c>
      <c r="M1581" s="21">
        <v>152523000000</v>
      </c>
    </row>
    <row r="1582" spans="1:13">
      <c r="A1582" s="4">
        <v>45411</v>
      </c>
      <c r="B1582" s="32"/>
      <c r="C1582" s="32"/>
      <c r="D1582" s="33">
        <v>9835234121.3600006</v>
      </c>
      <c r="E1582" s="33">
        <v>7720261.4900000002</v>
      </c>
      <c r="F1582" s="33">
        <v>9842954382.8500004</v>
      </c>
      <c r="G1582" s="33">
        <v>448296389</v>
      </c>
      <c r="H1582" s="33" t="s">
        <v>50</v>
      </c>
      <c r="I1582" s="32">
        <v>448296389</v>
      </c>
      <c r="J1582" s="32">
        <v>10291250771.85</v>
      </c>
      <c r="M1582" s="21">
        <v>160761000000</v>
      </c>
    </row>
    <row r="1583" spans="1:13">
      <c r="A1583" s="4">
        <v>45412</v>
      </c>
      <c r="B1583" s="32"/>
      <c r="C1583" s="32"/>
      <c r="D1583" s="33">
        <v>6199523328.5799999</v>
      </c>
      <c r="E1583" s="33">
        <v>3481093619.8000002</v>
      </c>
      <c r="F1583" s="33">
        <v>9680616948.3799992</v>
      </c>
      <c r="G1583" s="33">
        <v>631266305</v>
      </c>
      <c r="H1583" s="33">
        <v>100000000</v>
      </c>
      <c r="I1583" s="32">
        <v>731266305</v>
      </c>
      <c r="J1583" s="32">
        <v>10411883253.379999</v>
      </c>
      <c r="M1583" s="21">
        <v>169000000000</v>
      </c>
    </row>
    <row r="1584" spans="1:13">
      <c r="A1584" s="4">
        <v>45413</v>
      </c>
      <c r="B1584" s="32"/>
      <c r="C1584" s="32"/>
      <c r="D1584" s="33" t="s">
        <v>75</v>
      </c>
      <c r="E1584" s="33" t="s">
        <v>77</v>
      </c>
      <c r="F1584" s="33" t="s">
        <v>46</v>
      </c>
      <c r="G1584" s="33">
        <v>7150</v>
      </c>
      <c r="H1584" s="32" t="s">
        <v>76</v>
      </c>
      <c r="I1584" s="32">
        <v>7150</v>
      </c>
      <c r="J1584" s="32">
        <v>7150</v>
      </c>
      <c r="M1584" s="21" t="s">
        <v>79</v>
      </c>
    </row>
    <row r="1585" spans="1:13">
      <c r="A1585" s="4">
        <v>45414</v>
      </c>
      <c r="B1585" s="32"/>
      <c r="C1585" s="32"/>
      <c r="D1585" s="33">
        <v>7538316455.6999998</v>
      </c>
      <c r="E1585" s="33">
        <v>306328048.64999998</v>
      </c>
      <c r="F1585" s="33">
        <v>7844644504.3500004</v>
      </c>
      <c r="G1585" s="33">
        <v>160278604</v>
      </c>
      <c r="H1585" s="32"/>
      <c r="I1585" s="32">
        <v>160278604</v>
      </c>
      <c r="J1585" s="32">
        <v>8004923108.3500004</v>
      </c>
      <c r="M1585" s="21">
        <v>5546000000</v>
      </c>
    </row>
    <row r="1586" spans="1:13">
      <c r="A1586" s="4">
        <v>45415</v>
      </c>
      <c r="B1586" s="32"/>
      <c r="C1586" s="32"/>
      <c r="D1586" s="33">
        <v>3218991270.54</v>
      </c>
      <c r="E1586" s="33" t="s">
        <v>77</v>
      </c>
      <c r="F1586" s="33">
        <v>3218991270.54</v>
      </c>
      <c r="G1586" s="33">
        <v>114773006</v>
      </c>
      <c r="H1586" s="32">
        <v>100000000</v>
      </c>
      <c r="I1586" s="32">
        <v>214773006</v>
      </c>
      <c r="J1586" s="32">
        <v>3433764276.54</v>
      </c>
      <c r="M1586" s="21">
        <v>11087000000</v>
      </c>
    </row>
    <row r="1587" spans="1:13">
      <c r="A1587" s="4">
        <v>45416</v>
      </c>
      <c r="B1587" s="32"/>
      <c r="C1587" s="32"/>
      <c r="D1587" s="33" t="s">
        <v>75</v>
      </c>
      <c r="E1587" s="33" t="s">
        <v>77</v>
      </c>
      <c r="F1587" s="33" t="s">
        <v>46</v>
      </c>
      <c r="G1587" s="33">
        <v>168007258</v>
      </c>
      <c r="H1587" s="32" t="s">
        <v>76</v>
      </c>
      <c r="I1587" s="32">
        <v>168007258</v>
      </c>
      <c r="J1587" s="32">
        <v>168007258</v>
      </c>
      <c r="M1587" s="21">
        <v>11087000000</v>
      </c>
    </row>
    <row r="1588" spans="1:13">
      <c r="A1588" s="4">
        <v>45417</v>
      </c>
      <c r="B1588" s="32"/>
      <c r="C1588" s="32"/>
      <c r="D1588" s="33" t="s">
        <v>75</v>
      </c>
      <c r="E1588" s="33" t="s">
        <v>77</v>
      </c>
      <c r="F1588" s="33" t="s">
        <v>46</v>
      </c>
      <c r="G1588" s="33" t="s">
        <v>46</v>
      </c>
      <c r="H1588" s="32" t="s">
        <v>76</v>
      </c>
      <c r="I1588" s="32" t="s">
        <v>46</v>
      </c>
      <c r="J1588" s="32" t="s">
        <v>46</v>
      </c>
      <c r="M1588" s="21">
        <v>11087000000</v>
      </c>
    </row>
    <row r="1589" spans="1:13">
      <c r="A1589" s="4">
        <v>45418</v>
      </c>
      <c r="B1589" s="32"/>
      <c r="C1589" s="32"/>
      <c r="D1589" s="33">
        <v>9129718453</v>
      </c>
      <c r="E1589" s="33" t="s">
        <v>77</v>
      </c>
      <c r="F1589" s="33">
        <v>9129718453</v>
      </c>
      <c r="G1589" s="33">
        <v>224692457</v>
      </c>
      <c r="H1589" s="32">
        <v>9472022567.2000008</v>
      </c>
      <c r="I1589" s="32">
        <v>9696715024.2000008</v>
      </c>
      <c r="J1589" s="32">
        <v>18826433477.200001</v>
      </c>
      <c r="M1589" s="21">
        <v>16632000000</v>
      </c>
    </row>
    <row r="1590" spans="1:13">
      <c r="A1590" s="4">
        <v>45419</v>
      </c>
      <c r="B1590" s="32"/>
      <c r="C1590" s="32"/>
      <c r="D1590" s="33">
        <v>3102937462</v>
      </c>
      <c r="E1590" s="33" t="s">
        <v>77</v>
      </c>
      <c r="F1590" s="33">
        <v>3102937462</v>
      </c>
      <c r="G1590" s="33">
        <v>338553420</v>
      </c>
      <c r="H1590" s="32" t="s">
        <v>76</v>
      </c>
      <c r="I1590" s="32">
        <v>338553420</v>
      </c>
      <c r="J1590" s="32">
        <v>3441490882</v>
      </c>
      <c r="M1590" s="21">
        <v>22181000000</v>
      </c>
    </row>
    <row r="1591" spans="1:13">
      <c r="A1591" s="4">
        <v>45420</v>
      </c>
      <c r="B1591" s="32"/>
      <c r="C1591" s="32"/>
      <c r="D1591" s="33">
        <v>3496790652.9400001</v>
      </c>
      <c r="E1591" s="33" t="s">
        <v>77</v>
      </c>
      <c r="F1591" s="33">
        <v>3496790652.9400001</v>
      </c>
      <c r="G1591" s="33">
        <v>100949506</v>
      </c>
      <c r="H1591" s="32" t="s">
        <v>76</v>
      </c>
      <c r="I1591" s="32">
        <v>100949506</v>
      </c>
      <c r="J1591" s="32">
        <v>3597740158.9400001</v>
      </c>
      <c r="M1591" s="21">
        <v>27733000000</v>
      </c>
    </row>
    <row r="1592" spans="1:13">
      <c r="A1592" s="4">
        <v>45421</v>
      </c>
      <c r="B1592" s="32"/>
      <c r="C1592" s="32"/>
      <c r="D1592" s="33">
        <v>2433566779</v>
      </c>
      <c r="E1592" s="33">
        <v>12714.29</v>
      </c>
      <c r="F1592" s="33">
        <v>2433579493.29</v>
      </c>
      <c r="G1592" s="33">
        <v>59430045</v>
      </c>
      <c r="H1592" s="32" t="s">
        <v>76</v>
      </c>
      <c r="I1592" s="32">
        <v>59430045</v>
      </c>
      <c r="J1592" s="32">
        <v>2493009538.29</v>
      </c>
      <c r="M1592" s="21">
        <v>33280000000</v>
      </c>
    </row>
    <row r="1593" spans="1:13">
      <c r="A1593" s="4">
        <v>45422</v>
      </c>
      <c r="B1593" s="32"/>
      <c r="C1593" s="32"/>
      <c r="D1593" s="33">
        <v>7387810713</v>
      </c>
      <c r="E1593" s="33">
        <v>193530.5</v>
      </c>
      <c r="F1593" s="33">
        <v>7388004243.5</v>
      </c>
      <c r="G1593" s="33">
        <v>283283753</v>
      </c>
      <c r="H1593" s="32">
        <v>100000000</v>
      </c>
      <c r="I1593" s="32">
        <v>383283753</v>
      </c>
      <c r="J1593" s="32">
        <v>7771287996.5</v>
      </c>
      <c r="M1593" s="21">
        <v>38821000000</v>
      </c>
    </row>
    <row r="1594" spans="1:13">
      <c r="A1594" s="4">
        <v>45423</v>
      </c>
      <c r="B1594" s="32"/>
      <c r="C1594" s="32"/>
      <c r="D1594" s="33" t="s">
        <v>75</v>
      </c>
      <c r="E1594" s="33" t="s">
        <v>77</v>
      </c>
      <c r="F1594" s="33" t="s">
        <v>46</v>
      </c>
      <c r="G1594" s="33">
        <v>12320871</v>
      </c>
      <c r="H1594" s="32" t="s">
        <v>76</v>
      </c>
      <c r="I1594" s="32">
        <v>12320871</v>
      </c>
      <c r="J1594" s="32">
        <v>12320871</v>
      </c>
      <c r="M1594" s="21">
        <v>38821000000</v>
      </c>
    </row>
    <row r="1595" spans="1:13">
      <c r="A1595" s="4">
        <v>45424</v>
      </c>
      <c r="B1595" s="32"/>
      <c r="C1595" s="32"/>
      <c r="D1595" s="33" t="s">
        <v>75</v>
      </c>
      <c r="E1595" s="33" t="s">
        <v>77</v>
      </c>
      <c r="F1595" s="33" t="s">
        <v>46</v>
      </c>
      <c r="G1595" s="33" t="s">
        <v>46</v>
      </c>
      <c r="H1595" s="32" t="s">
        <v>76</v>
      </c>
      <c r="I1595" s="32" t="s">
        <v>46</v>
      </c>
      <c r="J1595" s="32" t="s">
        <v>46</v>
      </c>
      <c r="M1595" s="21">
        <v>38821000000</v>
      </c>
    </row>
    <row r="1596" spans="1:13">
      <c r="A1596" s="4">
        <v>45425</v>
      </c>
      <c r="B1596" s="32"/>
      <c r="C1596" s="32"/>
      <c r="D1596" s="33">
        <v>5697057155</v>
      </c>
      <c r="E1596" s="33" t="s">
        <v>77</v>
      </c>
      <c r="F1596" s="33">
        <v>5697057155</v>
      </c>
      <c r="G1596" s="33">
        <v>236435294</v>
      </c>
      <c r="H1596" s="32" t="s">
        <v>76</v>
      </c>
      <c r="I1596" s="32">
        <v>236435294</v>
      </c>
      <c r="J1596" s="32">
        <v>5933492449</v>
      </c>
      <c r="M1596" s="21">
        <v>44366000000</v>
      </c>
    </row>
    <row r="1597" spans="1:13">
      <c r="A1597" s="4">
        <v>45426</v>
      </c>
      <c r="B1597" s="32"/>
      <c r="C1597" s="32"/>
      <c r="D1597" s="33">
        <v>8322623146</v>
      </c>
      <c r="E1597" s="33">
        <v>2535766</v>
      </c>
      <c r="F1597" s="33">
        <v>8325158912</v>
      </c>
      <c r="G1597" s="33">
        <v>279861894</v>
      </c>
      <c r="H1597" s="32" t="s">
        <v>76</v>
      </c>
      <c r="I1597" s="32">
        <v>279861894</v>
      </c>
      <c r="J1597" s="32">
        <v>8605020806</v>
      </c>
      <c r="M1597" s="21">
        <v>49914000000</v>
      </c>
    </row>
    <row r="1598" spans="1:13">
      <c r="A1598" s="4">
        <v>45427</v>
      </c>
      <c r="B1598" s="32"/>
      <c r="C1598" s="32"/>
      <c r="D1598" s="33">
        <v>4480010892</v>
      </c>
      <c r="E1598" s="33" t="s">
        <v>77</v>
      </c>
      <c r="F1598" s="33">
        <v>4480010892</v>
      </c>
      <c r="G1598" s="33">
        <v>268090474</v>
      </c>
      <c r="H1598" s="32" t="s">
        <v>76</v>
      </c>
      <c r="I1598" s="32">
        <v>268090474</v>
      </c>
      <c r="J1598" s="32">
        <v>4748101366</v>
      </c>
      <c r="M1598" s="21">
        <v>55466000000</v>
      </c>
    </row>
    <row r="1599" spans="1:13">
      <c r="A1599" s="4">
        <v>45428</v>
      </c>
      <c r="B1599" s="32"/>
      <c r="C1599" s="32"/>
      <c r="D1599" s="33">
        <v>3065168635</v>
      </c>
      <c r="E1599" s="33" t="s">
        <v>77</v>
      </c>
      <c r="F1599" s="33">
        <v>3065168635</v>
      </c>
      <c r="G1599" s="33">
        <v>135093748</v>
      </c>
      <c r="H1599" s="32" t="s">
        <v>76</v>
      </c>
      <c r="I1599" s="32">
        <v>135093748</v>
      </c>
      <c r="J1599" s="32">
        <v>3200262383</v>
      </c>
      <c r="M1599" s="21">
        <v>61011000000</v>
      </c>
    </row>
    <row r="1600" spans="1:13">
      <c r="A1600" s="4">
        <v>45429</v>
      </c>
      <c r="B1600" s="32"/>
      <c r="C1600" s="32"/>
      <c r="D1600" s="33">
        <v>2069446767</v>
      </c>
      <c r="E1600" s="33"/>
      <c r="F1600" s="33">
        <v>2069446767</v>
      </c>
      <c r="G1600" s="33">
        <v>150067917</v>
      </c>
      <c r="H1600" s="32">
        <v>100000000</v>
      </c>
      <c r="I1600" s="32">
        <v>250067917</v>
      </c>
      <c r="J1600" s="32">
        <v>2319514684</v>
      </c>
      <c r="M1600" s="21">
        <v>66552000000</v>
      </c>
    </row>
    <row r="1601" spans="1:13">
      <c r="A1601" s="4">
        <v>45430</v>
      </c>
      <c r="B1601" s="32"/>
      <c r="C1601" s="32"/>
      <c r="D1601" s="33"/>
      <c r="E1601" s="33"/>
      <c r="F1601" s="33" t="s">
        <v>46</v>
      </c>
      <c r="G1601" s="33">
        <v>185180</v>
      </c>
      <c r="H1601" s="32" t="s">
        <v>76</v>
      </c>
      <c r="I1601" s="32">
        <v>185180</v>
      </c>
      <c r="J1601" s="32">
        <v>185180</v>
      </c>
      <c r="M1601" s="21">
        <v>66552000000</v>
      </c>
    </row>
    <row r="1602" spans="1:13">
      <c r="A1602" s="4">
        <v>45431</v>
      </c>
      <c r="B1602" s="32"/>
      <c r="C1602" s="32"/>
      <c r="D1602" s="33"/>
      <c r="E1602" s="33"/>
      <c r="F1602" s="33" t="s">
        <v>46</v>
      </c>
      <c r="G1602" s="33">
        <v>1116000</v>
      </c>
      <c r="H1602" s="32" t="s">
        <v>76</v>
      </c>
      <c r="I1602" s="32">
        <v>1116000</v>
      </c>
      <c r="J1602" s="32">
        <v>1116000</v>
      </c>
      <c r="M1602" s="21">
        <v>66552000000</v>
      </c>
    </row>
    <row r="1603" spans="1:13">
      <c r="A1603" s="4">
        <v>45432</v>
      </c>
      <c r="B1603" s="32"/>
      <c r="C1603" s="32"/>
      <c r="D1603" s="33">
        <v>2553101201</v>
      </c>
      <c r="E1603" s="33"/>
      <c r="F1603" s="33">
        <v>2553101201</v>
      </c>
      <c r="G1603" s="33">
        <v>201955893</v>
      </c>
      <c r="H1603" s="32" t="s">
        <v>76</v>
      </c>
      <c r="I1603" s="32">
        <v>201955893</v>
      </c>
      <c r="J1603" s="32">
        <v>2755057094</v>
      </c>
      <c r="M1603" s="21">
        <v>72097000000</v>
      </c>
    </row>
    <row r="1604" spans="1:13">
      <c r="A1604" s="4">
        <v>45433</v>
      </c>
      <c r="B1604" s="32"/>
      <c r="C1604" s="32"/>
      <c r="D1604" s="33">
        <v>2629482319</v>
      </c>
      <c r="E1604" s="33"/>
      <c r="F1604" s="33">
        <v>2629482319</v>
      </c>
      <c r="G1604" s="33">
        <v>263725690</v>
      </c>
      <c r="H1604" s="32"/>
      <c r="I1604" s="32">
        <v>263725690</v>
      </c>
      <c r="J1604" s="32">
        <v>2893208009</v>
      </c>
      <c r="M1604" s="21">
        <v>77645000000</v>
      </c>
    </row>
    <row r="1605" spans="1:13">
      <c r="A1605" s="4">
        <v>45434</v>
      </c>
      <c r="B1605" s="32"/>
      <c r="C1605" s="32"/>
      <c r="D1605" s="33">
        <v>5617111719</v>
      </c>
      <c r="E1605" s="33"/>
      <c r="F1605" s="33">
        <v>5617111719</v>
      </c>
      <c r="G1605" s="33">
        <v>231393046</v>
      </c>
      <c r="H1605" s="32">
        <v>100000000</v>
      </c>
      <c r="I1605" s="32">
        <v>331393046</v>
      </c>
      <c r="J1605" s="32">
        <v>5948504765</v>
      </c>
      <c r="M1605" s="21">
        <v>83197000000</v>
      </c>
    </row>
    <row r="1606" spans="1:13">
      <c r="A1606" s="4">
        <v>45435</v>
      </c>
      <c r="B1606" s="32"/>
      <c r="C1606" s="32"/>
      <c r="D1606" s="33" t="s">
        <v>75</v>
      </c>
      <c r="E1606" s="33"/>
      <c r="F1606" s="33" t="s">
        <v>46</v>
      </c>
      <c r="G1606" s="33">
        <v>4487850</v>
      </c>
      <c r="H1606" s="32" t="s">
        <v>76</v>
      </c>
      <c r="I1606" s="32">
        <v>4487850</v>
      </c>
      <c r="J1606" s="32">
        <v>4487850</v>
      </c>
      <c r="M1606" s="21">
        <v>83197000000</v>
      </c>
    </row>
    <row r="1607" spans="1:13">
      <c r="A1607" s="4">
        <v>45436</v>
      </c>
      <c r="B1607" s="32"/>
      <c r="C1607" s="32"/>
      <c r="D1607" s="33" t="s">
        <v>75</v>
      </c>
      <c r="E1607" s="33"/>
      <c r="F1607" s="33" t="s">
        <v>46</v>
      </c>
      <c r="G1607" s="33">
        <v>854900</v>
      </c>
      <c r="H1607" s="32" t="s">
        <v>76</v>
      </c>
      <c r="I1607" s="32">
        <v>854900</v>
      </c>
      <c r="J1607" s="32">
        <v>854900</v>
      </c>
      <c r="M1607" s="21">
        <v>83197000000</v>
      </c>
    </row>
    <row r="1608" spans="1:13">
      <c r="A1608" s="4">
        <v>45437</v>
      </c>
      <c r="B1608" s="32"/>
      <c r="C1608" s="32"/>
      <c r="D1608" s="33" t="s">
        <v>75</v>
      </c>
      <c r="E1608" s="33"/>
      <c r="F1608" s="33" t="s">
        <v>46</v>
      </c>
      <c r="G1608" s="33">
        <v>4</v>
      </c>
      <c r="H1608" s="32" t="s">
        <v>76</v>
      </c>
      <c r="I1608" s="32">
        <v>4</v>
      </c>
      <c r="J1608" s="32">
        <v>4</v>
      </c>
      <c r="M1608" s="21">
        <v>83197000000</v>
      </c>
    </row>
    <row r="1609" spans="1:13">
      <c r="A1609" s="4">
        <v>45438</v>
      </c>
      <c r="B1609" s="32"/>
      <c r="C1609" s="32"/>
      <c r="D1609" s="33" t="s">
        <v>75</v>
      </c>
      <c r="E1609" s="33"/>
      <c r="F1609" s="33" t="s">
        <v>46</v>
      </c>
      <c r="G1609" s="33">
        <v>10953550</v>
      </c>
      <c r="H1609" s="32" t="s">
        <v>76</v>
      </c>
      <c r="I1609" s="32">
        <v>10953550</v>
      </c>
      <c r="J1609" s="32">
        <v>10953550</v>
      </c>
      <c r="M1609" s="21">
        <v>83197000000</v>
      </c>
    </row>
    <row r="1610" spans="1:13">
      <c r="A1610" s="4">
        <v>45439</v>
      </c>
      <c r="B1610" s="32"/>
      <c r="C1610" s="32"/>
      <c r="D1610" s="33">
        <v>3271569719</v>
      </c>
      <c r="E1610" s="33"/>
      <c r="F1610" s="33">
        <v>3271569719</v>
      </c>
      <c r="G1610" s="33">
        <v>353650219</v>
      </c>
      <c r="H1610" s="32" t="s">
        <v>76</v>
      </c>
      <c r="I1610" s="32">
        <v>353650219</v>
      </c>
      <c r="J1610" s="32">
        <v>3625219938</v>
      </c>
      <c r="M1610" s="21">
        <v>88743000000</v>
      </c>
    </row>
    <row r="1611" spans="1:13">
      <c r="A1611" s="4">
        <v>45440</v>
      </c>
      <c r="B1611" s="32"/>
      <c r="C1611" s="32"/>
      <c r="D1611" s="33">
        <v>13732632624.299999</v>
      </c>
      <c r="E1611" s="33">
        <v>860173.26</v>
      </c>
      <c r="F1611" s="33">
        <v>13733492797.559999</v>
      </c>
      <c r="G1611" s="33">
        <v>262181668</v>
      </c>
      <c r="H1611" s="32" t="s">
        <v>76</v>
      </c>
      <c r="I1611" s="32">
        <v>262181668</v>
      </c>
      <c r="J1611" s="32">
        <v>13995674465.559999</v>
      </c>
      <c r="M1611" s="21">
        <v>94291000000</v>
      </c>
    </row>
    <row r="1612" spans="1:13">
      <c r="A1612" s="4">
        <v>45441</v>
      </c>
      <c r="B1612" s="32"/>
      <c r="C1612" s="32"/>
      <c r="D1612" s="33">
        <v>3148705133</v>
      </c>
      <c r="E1612" s="33">
        <v>1100</v>
      </c>
      <c r="F1612" s="33">
        <v>3148706233</v>
      </c>
      <c r="G1612" s="33">
        <v>255529847</v>
      </c>
      <c r="H1612" s="32" t="s">
        <v>76</v>
      </c>
      <c r="I1612" s="32">
        <v>255529847</v>
      </c>
      <c r="J1612" s="32">
        <v>3404236080</v>
      </c>
      <c r="M1612" s="21">
        <v>99843000000</v>
      </c>
    </row>
    <row r="1613" spans="1:13">
      <c r="A1613" s="4">
        <v>45442</v>
      </c>
      <c r="B1613" s="32"/>
      <c r="C1613" s="32"/>
      <c r="D1613" s="33">
        <v>2700396111</v>
      </c>
      <c r="E1613" s="33" t="s">
        <v>77</v>
      </c>
      <c r="F1613" s="33">
        <v>2700396111</v>
      </c>
      <c r="G1613" s="33">
        <v>219349822</v>
      </c>
      <c r="H1613" s="32" t="s">
        <v>76</v>
      </c>
      <c r="I1613" s="32">
        <v>219349822</v>
      </c>
      <c r="J1613" s="32">
        <v>2919745933</v>
      </c>
      <c r="M1613" s="21">
        <v>105388000000</v>
      </c>
    </row>
    <row r="1614" spans="1:13">
      <c r="A1614" s="4">
        <v>45443</v>
      </c>
      <c r="B1614" s="32"/>
      <c r="C1614" s="32"/>
      <c r="D1614" s="33">
        <v>4631027111.1599998</v>
      </c>
      <c r="E1614" s="33">
        <v>1436836963.8599999</v>
      </c>
      <c r="F1614" s="33">
        <v>6067864075.0200005</v>
      </c>
      <c r="G1614" s="33">
        <v>153763935.40000001</v>
      </c>
      <c r="H1614" s="32">
        <v>100000000</v>
      </c>
      <c r="I1614" s="32">
        <v>253763935.40000001</v>
      </c>
      <c r="J1614" s="32">
        <v>6321628010.4200001</v>
      </c>
      <c r="M1614" s="21">
        <v>110928000000</v>
      </c>
    </row>
    <row r="1615" spans="1:13">
      <c r="A1615" s="4">
        <v>45444</v>
      </c>
      <c r="B1615" s="32"/>
      <c r="C1615" s="33"/>
      <c r="D1615" s="33" t="s">
        <v>75</v>
      </c>
      <c r="E1615" s="33" t="s">
        <v>77</v>
      </c>
      <c r="F1615" s="33" t="s">
        <v>46</v>
      </c>
      <c r="G1615" s="33">
        <v>36210000</v>
      </c>
      <c r="H1615" s="33" t="s">
        <v>76</v>
      </c>
      <c r="I1615" s="32">
        <v>36210000</v>
      </c>
      <c r="J1615" s="32">
        <v>36210000</v>
      </c>
    </row>
    <row r="1616" spans="1:13">
      <c r="A1616" s="4">
        <v>45445</v>
      </c>
      <c r="B1616" s="32"/>
      <c r="C1616" s="33"/>
      <c r="D1616" s="33" t="s">
        <v>75</v>
      </c>
      <c r="E1616" s="33" t="s">
        <v>77</v>
      </c>
      <c r="F1616" s="33" t="s">
        <v>46</v>
      </c>
      <c r="G1616" s="33" t="s">
        <v>46</v>
      </c>
      <c r="H1616" s="33" t="s">
        <v>76</v>
      </c>
      <c r="I1616" s="32" t="s">
        <v>46</v>
      </c>
      <c r="J1616" s="32" t="s">
        <v>46</v>
      </c>
    </row>
    <row r="1617" spans="1:10">
      <c r="A1617" s="4">
        <v>45446</v>
      </c>
      <c r="B1617" s="32"/>
      <c r="C1617" s="33"/>
      <c r="D1617" s="33">
        <v>4301418446.1000004</v>
      </c>
      <c r="E1617" s="33" t="s">
        <v>77</v>
      </c>
      <c r="F1617" s="33">
        <v>4301418446.1000004</v>
      </c>
      <c r="G1617" s="33">
        <v>90571033</v>
      </c>
      <c r="H1617" s="33" t="s">
        <v>76</v>
      </c>
      <c r="I1617" s="32">
        <v>90571033</v>
      </c>
      <c r="J1617" s="32">
        <v>4391989479.1000004</v>
      </c>
    </row>
    <row r="1618" spans="1:10">
      <c r="A1618" s="4">
        <v>45447</v>
      </c>
      <c r="B1618" s="32"/>
      <c r="C1618" s="33"/>
      <c r="D1618" s="33">
        <v>3757284807</v>
      </c>
      <c r="E1618" s="33" t="s">
        <v>77</v>
      </c>
      <c r="F1618" s="33">
        <v>3757284807</v>
      </c>
      <c r="G1618" s="33">
        <v>261760619</v>
      </c>
      <c r="H1618" s="33" t="s">
        <v>76</v>
      </c>
      <c r="I1618" s="32">
        <v>261760619</v>
      </c>
      <c r="J1618" s="32">
        <v>4019045426</v>
      </c>
    </row>
    <row r="1619" spans="1:10">
      <c r="A1619" s="4">
        <v>45448</v>
      </c>
      <c r="B1619" s="32"/>
      <c r="C1619" s="33"/>
      <c r="D1619" s="33">
        <v>4683827638</v>
      </c>
      <c r="E1619" s="33" t="s">
        <v>77</v>
      </c>
      <c r="F1619" s="33">
        <v>4683827638</v>
      </c>
      <c r="G1619" s="33">
        <v>215550458</v>
      </c>
      <c r="H1619" s="33" t="s">
        <v>76</v>
      </c>
      <c r="I1619" s="32">
        <v>215550458</v>
      </c>
      <c r="J1619" s="32">
        <v>4899378096</v>
      </c>
    </row>
    <row r="1620" spans="1:10">
      <c r="A1620" s="4">
        <v>45449</v>
      </c>
      <c r="B1620" s="32"/>
      <c r="C1620" s="33"/>
      <c r="D1620" s="33">
        <v>2240770068.25</v>
      </c>
      <c r="E1620" s="33">
        <v>15300</v>
      </c>
      <c r="F1620" s="33">
        <v>2240785368.25</v>
      </c>
      <c r="G1620" s="33">
        <v>214832178</v>
      </c>
      <c r="H1620" s="33">
        <v>7977547439</v>
      </c>
      <c r="I1620" s="32">
        <v>8192379617</v>
      </c>
      <c r="J1620" s="32">
        <v>10433164985.25</v>
      </c>
    </row>
    <row r="1621" spans="1:10">
      <c r="A1621" s="4">
        <v>45450</v>
      </c>
      <c r="B1621" s="32"/>
      <c r="C1621" s="33"/>
      <c r="D1621" s="33">
        <v>5222087798</v>
      </c>
      <c r="E1621" s="33" t="s">
        <v>77</v>
      </c>
      <c r="F1621" s="33">
        <v>5222087798</v>
      </c>
      <c r="G1621" s="33">
        <v>195875202</v>
      </c>
      <c r="H1621" s="33">
        <v>100000000</v>
      </c>
      <c r="I1621" s="32">
        <v>295875202</v>
      </c>
      <c r="J1621" s="32">
        <v>5517963000</v>
      </c>
    </row>
    <row r="1622" spans="1:10">
      <c r="A1622" s="4">
        <v>45451</v>
      </c>
      <c r="B1622" s="32"/>
      <c r="C1622" s="33"/>
      <c r="D1622" s="33" t="s">
        <v>75</v>
      </c>
      <c r="E1622" s="33" t="s">
        <v>77</v>
      </c>
      <c r="F1622" s="33" t="s">
        <v>46</v>
      </c>
      <c r="G1622" s="33">
        <v>162300164</v>
      </c>
      <c r="H1622" s="33" t="s">
        <v>76</v>
      </c>
      <c r="I1622" s="32">
        <v>162300164</v>
      </c>
      <c r="J1622" s="32">
        <v>162300164</v>
      </c>
    </row>
    <row r="1623" spans="1:10">
      <c r="A1623" s="4">
        <v>45452</v>
      </c>
      <c r="B1623" s="32"/>
      <c r="C1623" s="33"/>
      <c r="D1623" s="33" t="s">
        <v>51</v>
      </c>
      <c r="E1623" s="33" t="s">
        <v>79</v>
      </c>
      <c r="F1623" s="33" t="s">
        <v>82</v>
      </c>
      <c r="G1623" s="33">
        <v>20900</v>
      </c>
      <c r="H1623" s="33" t="s">
        <v>50</v>
      </c>
      <c r="I1623" s="32">
        <v>20900</v>
      </c>
      <c r="J1623" s="32">
        <v>20900</v>
      </c>
    </row>
    <row r="1624" spans="1:10">
      <c r="A1624" s="4">
        <v>45453</v>
      </c>
      <c r="B1624" s="32"/>
      <c r="C1624" s="33"/>
      <c r="D1624" s="33">
        <v>4656946261.3199997</v>
      </c>
      <c r="E1624" s="33" t="s">
        <v>77</v>
      </c>
      <c r="F1624" s="33">
        <v>4656946261.3199997</v>
      </c>
      <c r="G1624" s="33">
        <v>294681722</v>
      </c>
      <c r="H1624" s="33" t="s">
        <v>76</v>
      </c>
      <c r="I1624" s="32">
        <v>294681722</v>
      </c>
      <c r="J1624" s="32">
        <v>4951627983.3199997</v>
      </c>
    </row>
    <row r="1625" spans="1:10">
      <c r="A1625" s="4">
        <v>45454</v>
      </c>
      <c r="B1625" s="32"/>
      <c r="C1625" s="33"/>
      <c r="D1625" s="33">
        <v>4984729594</v>
      </c>
      <c r="E1625" s="33" t="s">
        <v>77</v>
      </c>
      <c r="F1625" s="33">
        <v>4984729594</v>
      </c>
      <c r="G1625" s="33">
        <v>179608273</v>
      </c>
      <c r="H1625" s="33" t="s">
        <v>76</v>
      </c>
      <c r="I1625" s="32">
        <v>179608273</v>
      </c>
      <c r="J1625" s="32">
        <v>5164337867</v>
      </c>
    </row>
    <row r="1626" spans="1:10">
      <c r="A1626" s="4">
        <v>45455</v>
      </c>
      <c r="B1626" s="32"/>
      <c r="C1626" s="33"/>
      <c r="D1626" s="33">
        <v>2894110570</v>
      </c>
      <c r="E1626" s="33">
        <v>37690.5</v>
      </c>
      <c r="F1626" s="33">
        <v>2894148260.5</v>
      </c>
      <c r="G1626" s="33">
        <v>205042252</v>
      </c>
      <c r="H1626" s="33" t="s">
        <v>76</v>
      </c>
      <c r="I1626" s="32">
        <v>205042252</v>
      </c>
      <c r="J1626" s="32">
        <v>3099190512.5</v>
      </c>
    </row>
    <row r="1627" spans="1:10">
      <c r="A1627" s="4">
        <v>45456</v>
      </c>
      <c r="B1627" s="32"/>
      <c r="C1627" s="33"/>
      <c r="D1627" s="33">
        <v>2775043429</v>
      </c>
      <c r="E1627" s="33" t="s">
        <v>77</v>
      </c>
      <c r="F1627" s="33">
        <v>2775043429</v>
      </c>
      <c r="G1627" s="33">
        <v>153258688.41999999</v>
      </c>
      <c r="H1627" s="33" t="s">
        <v>76</v>
      </c>
      <c r="I1627" s="32">
        <v>153258688.41999999</v>
      </c>
      <c r="J1627" s="32">
        <v>2928302117.4200001</v>
      </c>
    </row>
    <row r="1628" spans="1:10">
      <c r="A1628" s="4">
        <v>45457</v>
      </c>
      <c r="B1628" s="32"/>
      <c r="C1628" s="33"/>
      <c r="D1628" s="33">
        <v>2104356560.3199999</v>
      </c>
      <c r="E1628" s="33">
        <v>4660500</v>
      </c>
      <c r="F1628" s="33">
        <v>2109017060.3199999</v>
      </c>
      <c r="G1628" s="33">
        <v>97995940</v>
      </c>
      <c r="H1628" s="33">
        <v>100000000</v>
      </c>
      <c r="I1628" s="32">
        <v>197995940</v>
      </c>
      <c r="J1628" s="32">
        <v>2307013000.3200002</v>
      </c>
    </row>
    <row r="1629" spans="1:10">
      <c r="A1629" s="4">
        <v>45458</v>
      </c>
      <c r="B1629" s="32"/>
      <c r="C1629" s="33"/>
      <c r="D1629" s="33" t="s">
        <v>75</v>
      </c>
      <c r="E1629" s="33" t="s">
        <v>77</v>
      </c>
      <c r="F1629" s="33" t="s">
        <v>46</v>
      </c>
      <c r="G1629" s="33">
        <v>2162200</v>
      </c>
      <c r="H1629" s="33" t="s">
        <v>76</v>
      </c>
      <c r="I1629" s="32">
        <v>2162200</v>
      </c>
      <c r="J1629" s="32">
        <v>2162200</v>
      </c>
    </row>
    <row r="1630" spans="1:10">
      <c r="A1630" s="4">
        <v>45459</v>
      </c>
      <c r="B1630" s="32"/>
      <c r="C1630" s="33"/>
      <c r="D1630" s="33" t="s">
        <v>75</v>
      </c>
      <c r="E1630" s="33" t="s">
        <v>77</v>
      </c>
      <c r="F1630" s="33" t="s">
        <v>46</v>
      </c>
      <c r="G1630" s="33">
        <v>146952503</v>
      </c>
      <c r="H1630" s="33" t="s">
        <v>76</v>
      </c>
      <c r="I1630" s="32">
        <v>146952503</v>
      </c>
      <c r="J1630" s="32">
        <v>146952503</v>
      </c>
    </row>
    <row r="1631" spans="1:10">
      <c r="A1631" s="4">
        <v>45460</v>
      </c>
      <c r="B1631" s="32"/>
      <c r="C1631" s="33"/>
      <c r="D1631" s="33" t="s">
        <v>75</v>
      </c>
      <c r="E1631" s="33" t="s">
        <v>77</v>
      </c>
      <c r="F1631" s="33" t="s">
        <v>46</v>
      </c>
      <c r="G1631" s="33">
        <v>6692414</v>
      </c>
      <c r="H1631" s="33" t="s">
        <v>76</v>
      </c>
      <c r="I1631" s="32">
        <v>6692414</v>
      </c>
      <c r="J1631" s="32">
        <v>6692414</v>
      </c>
    </row>
    <row r="1632" spans="1:10">
      <c r="A1632" s="4">
        <v>45461</v>
      </c>
      <c r="B1632" s="32"/>
      <c r="C1632" s="33"/>
      <c r="D1632" s="33">
        <v>3903836063.6199999</v>
      </c>
      <c r="E1632" s="33" t="s">
        <v>77</v>
      </c>
      <c r="F1632" s="33">
        <v>3903836063.6199999</v>
      </c>
      <c r="G1632" s="33">
        <v>338575159</v>
      </c>
      <c r="H1632" s="33" t="s">
        <v>76</v>
      </c>
      <c r="I1632" s="32">
        <v>338575159</v>
      </c>
      <c r="J1632" s="32">
        <v>4242411222.6199999</v>
      </c>
    </row>
    <row r="1633" spans="1:10">
      <c r="A1633" s="4">
        <v>45462</v>
      </c>
      <c r="B1633" s="32"/>
      <c r="C1633" s="33"/>
      <c r="D1633" s="33">
        <v>4681409221.4499998</v>
      </c>
      <c r="E1633" s="33" t="s">
        <v>77</v>
      </c>
      <c r="F1633" s="33">
        <v>4681409221.4499998</v>
      </c>
      <c r="G1633" s="33">
        <v>135653072</v>
      </c>
      <c r="H1633" s="33" t="s">
        <v>76</v>
      </c>
      <c r="I1633" s="32">
        <v>135653072</v>
      </c>
      <c r="J1633" s="32">
        <v>4817062293.4499998</v>
      </c>
    </row>
    <row r="1634" spans="1:10">
      <c r="A1634" s="4">
        <v>45463</v>
      </c>
      <c r="B1634" s="32"/>
      <c r="C1634" s="33">
        <v>1364340285.0899999</v>
      </c>
      <c r="D1634" s="33">
        <v>7394169832.9099998</v>
      </c>
      <c r="E1634" s="33" t="s">
        <v>77</v>
      </c>
      <c r="F1634" s="33">
        <v>7394169832.9099998</v>
      </c>
      <c r="G1634" s="33">
        <v>61447864</v>
      </c>
      <c r="H1634" s="33">
        <v>100000000</v>
      </c>
      <c r="I1634" s="32">
        <v>161447864</v>
      </c>
      <c r="J1634" s="32">
        <v>7555617696.9099998</v>
      </c>
    </row>
    <row r="1635" spans="1:10">
      <c r="A1635" s="4">
        <v>45464</v>
      </c>
      <c r="B1635" s="32"/>
      <c r="C1635" s="33"/>
      <c r="D1635" s="33" t="s">
        <v>75</v>
      </c>
      <c r="E1635" s="33" t="s">
        <v>77</v>
      </c>
      <c r="F1635" s="33" t="s">
        <v>46</v>
      </c>
      <c r="G1635" s="33">
        <v>905650</v>
      </c>
      <c r="H1635" s="33" t="s">
        <v>76</v>
      </c>
      <c r="I1635" s="32">
        <v>905650</v>
      </c>
      <c r="J1635" s="32">
        <v>905650</v>
      </c>
    </row>
    <row r="1636" spans="1:10">
      <c r="A1636" s="4">
        <v>45465</v>
      </c>
      <c r="B1636" s="32"/>
      <c r="C1636" s="33"/>
      <c r="D1636" s="33" t="s">
        <v>75</v>
      </c>
      <c r="E1636" s="33" t="s">
        <v>77</v>
      </c>
      <c r="F1636" s="33" t="s">
        <v>46</v>
      </c>
      <c r="G1636" s="33">
        <v>17712135</v>
      </c>
      <c r="H1636" s="33" t="s">
        <v>76</v>
      </c>
      <c r="I1636" s="32">
        <v>17712135</v>
      </c>
      <c r="J1636" s="32">
        <v>17712135</v>
      </c>
    </row>
    <row r="1637" spans="1:10">
      <c r="A1637" s="4">
        <v>45466</v>
      </c>
      <c r="B1637" s="32"/>
      <c r="C1637" s="33"/>
      <c r="D1637" s="33" t="s">
        <v>75</v>
      </c>
      <c r="E1637" s="33" t="s">
        <v>77</v>
      </c>
      <c r="F1637" s="33" t="s">
        <v>46</v>
      </c>
      <c r="G1637" s="33">
        <v>550</v>
      </c>
      <c r="H1637" s="33" t="s">
        <v>76</v>
      </c>
      <c r="I1637" s="32">
        <v>550</v>
      </c>
      <c r="J1637" s="32">
        <v>550</v>
      </c>
    </row>
    <row r="1638" spans="1:10">
      <c r="A1638" s="4">
        <v>45467</v>
      </c>
      <c r="B1638" s="32"/>
      <c r="C1638" s="33"/>
      <c r="D1638" s="33">
        <v>4086811362</v>
      </c>
      <c r="E1638" s="33">
        <v>359100</v>
      </c>
      <c r="F1638" s="33">
        <v>4087170462</v>
      </c>
      <c r="G1638" s="33">
        <v>420030810</v>
      </c>
      <c r="H1638" s="33" t="s">
        <v>76</v>
      </c>
      <c r="I1638" s="32">
        <v>420030810</v>
      </c>
      <c r="J1638" s="32">
        <v>4507201272</v>
      </c>
    </row>
    <row r="1639" spans="1:10">
      <c r="A1639" s="4">
        <v>45468</v>
      </c>
      <c r="B1639" s="32"/>
      <c r="C1639" s="33"/>
      <c r="D1639" s="33">
        <v>4777379216</v>
      </c>
      <c r="E1639" s="33" t="s">
        <v>77</v>
      </c>
      <c r="F1639" s="33">
        <v>4777379216</v>
      </c>
      <c r="G1639" s="33">
        <v>229456648</v>
      </c>
      <c r="H1639" s="33" t="s">
        <v>76</v>
      </c>
      <c r="I1639" s="32">
        <v>229456648</v>
      </c>
      <c r="J1639" s="32">
        <v>5006835864</v>
      </c>
    </row>
    <row r="1640" spans="1:10">
      <c r="A1640" s="4">
        <v>45469</v>
      </c>
      <c r="B1640" s="32"/>
      <c r="C1640" s="33"/>
      <c r="D1640" s="33">
        <v>3534394749</v>
      </c>
      <c r="E1640" s="33" t="s">
        <v>77</v>
      </c>
      <c r="F1640" s="33">
        <v>3534394749</v>
      </c>
      <c r="G1640" s="33">
        <v>423109350</v>
      </c>
      <c r="H1640" s="33" t="s">
        <v>76</v>
      </c>
      <c r="I1640" s="32">
        <v>423109350</v>
      </c>
      <c r="J1640" s="32">
        <v>3957504099</v>
      </c>
    </row>
    <row r="1641" spans="1:10">
      <c r="A1641" s="4">
        <v>45470</v>
      </c>
      <c r="B1641" s="32"/>
      <c r="C1641" s="33"/>
      <c r="D1641" s="33">
        <v>2565232261.4000001</v>
      </c>
      <c r="E1641" s="33" t="s">
        <v>77</v>
      </c>
      <c r="F1641" s="33">
        <v>2565232261.4000001</v>
      </c>
      <c r="G1641" s="33">
        <v>144072056</v>
      </c>
      <c r="H1641" s="33">
        <v>100000000</v>
      </c>
      <c r="I1641" s="32">
        <v>244072056</v>
      </c>
      <c r="J1641" s="32">
        <v>2809304317.4000001</v>
      </c>
    </row>
    <row r="1642" spans="1:10">
      <c r="A1642" s="4">
        <v>45471</v>
      </c>
      <c r="B1642" s="32"/>
      <c r="C1642" s="33"/>
      <c r="D1642" s="33">
        <v>8041922104.1199999</v>
      </c>
      <c r="E1642" s="33">
        <v>1897041352.46</v>
      </c>
      <c r="F1642" s="33">
        <v>9938963456.5799999</v>
      </c>
      <c r="G1642" s="33">
        <v>294960880</v>
      </c>
      <c r="H1642" s="33" t="s">
        <v>76</v>
      </c>
      <c r="I1642" s="32">
        <v>294960880</v>
      </c>
      <c r="J1642" s="32">
        <v>10233924336.58</v>
      </c>
    </row>
    <row r="1643" spans="1:10">
      <c r="A1643" s="4">
        <v>45472</v>
      </c>
      <c r="B1643" s="32"/>
      <c r="C1643" s="33"/>
      <c r="D1643" s="33" t="s">
        <v>75</v>
      </c>
      <c r="E1643" s="33" t="s">
        <v>77</v>
      </c>
      <c r="F1643" s="33" t="s">
        <v>46</v>
      </c>
      <c r="G1643" s="33">
        <v>2242000</v>
      </c>
      <c r="H1643" s="33" t="s">
        <v>76</v>
      </c>
      <c r="I1643" s="32">
        <v>2242000</v>
      </c>
      <c r="J1643" s="32">
        <v>2242000</v>
      </c>
    </row>
    <row r="1644" spans="1:10">
      <c r="A1644" s="4">
        <v>45473</v>
      </c>
      <c r="B1644" s="32"/>
      <c r="C1644" s="33"/>
      <c r="D1644" s="33" t="s">
        <v>75</v>
      </c>
      <c r="E1644" s="33" t="s">
        <v>77</v>
      </c>
      <c r="F1644" s="33" t="s">
        <v>46</v>
      </c>
      <c r="G1644" s="33">
        <v>14022111</v>
      </c>
      <c r="H1644" s="33" t="s">
        <v>76</v>
      </c>
      <c r="I1644" s="32">
        <v>14022111</v>
      </c>
      <c r="J1644" s="32">
        <v>14022111</v>
      </c>
    </row>
    <row r="1645" spans="1:10">
      <c r="A1645" s="4">
        <v>45474</v>
      </c>
      <c r="B1645" s="32"/>
      <c r="C1645" s="32"/>
      <c r="D1645" s="33">
        <v>2145377621</v>
      </c>
      <c r="E1645" s="33" t="s">
        <v>77</v>
      </c>
      <c r="F1645" s="33">
        <v>2145377621</v>
      </c>
      <c r="G1645" s="33">
        <v>168231804</v>
      </c>
      <c r="H1645" s="33" t="s">
        <v>76</v>
      </c>
      <c r="I1645" s="32">
        <v>168231804</v>
      </c>
      <c r="J1645" s="33">
        <v>2313609425</v>
      </c>
    </row>
    <row r="1646" spans="1:10">
      <c r="A1646" s="4">
        <v>45475</v>
      </c>
      <c r="B1646" s="32"/>
      <c r="C1646" s="32"/>
      <c r="D1646" s="33">
        <v>7627072088.8000002</v>
      </c>
      <c r="E1646" s="33">
        <v>7792200</v>
      </c>
      <c r="F1646" s="33">
        <v>7634864288.8000002</v>
      </c>
      <c r="G1646" s="33">
        <v>155969411</v>
      </c>
      <c r="H1646" s="33" t="s">
        <v>76</v>
      </c>
      <c r="I1646" s="32">
        <v>155969411</v>
      </c>
      <c r="J1646" s="33">
        <v>7790833699.8000002</v>
      </c>
    </row>
    <row r="1647" spans="1:10">
      <c r="A1647" s="4">
        <v>45476</v>
      </c>
      <c r="B1647" s="32"/>
      <c r="C1647" s="32"/>
      <c r="D1647" s="33">
        <v>2858628087.5300002</v>
      </c>
      <c r="E1647" s="33" t="s">
        <v>77</v>
      </c>
      <c r="F1647" s="33">
        <v>2858628087.5300002</v>
      </c>
      <c r="G1647" s="33">
        <v>262921152</v>
      </c>
      <c r="H1647" s="33" t="s">
        <v>76</v>
      </c>
      <c r="I1647" s="32">
        <v>262921152</v>
      </c>
      <c r="J1647" s="33">
        <v>3121549239.5300002</v>
      </c>
    </row>
    <row r="1648" spans="1:10">
      <c r="A1648" s="4">
        <v>45477</v>
      </c>
      <c r="B1648" s="32"/>
      <c r="C1648" s="32"/>
      <c r="D1648" s="33">
        <v>7416980466</v>
      </c>
      <c r="E1648" s="33" t="s">
        <v>77</v>
      </c>
      <c r="F1648" s="33">
        <v>7416980466</v>
      </c>
      <c r="G1648" s="33">
        <v>68869043</v>
      </c>
      <c r="H1648" s="33" t="s">
        <v>76</v>
      </c>
      <c r="I1648" s="32">
        <v>68869043</v>
      </c>
      <c r="J1648" s="33">
        <v>7485849509</v>
      </c>
    </row>
    <row r="1649" spans="1:10">
      <c r="A1649" s="4">
        <v>45478</v>
      </c>
      <c r="B1649" s="32"/>
      <c r="C1649" s="32"/>
      <c r="D1649" s="33">
        <v>2981393240</v>
      </c>
      <c r="E1649" s="33" t="s">
        <v>77</v>
      </c>
      <c r="F1649" s="33">
        <v>2981393240</v>
      </c>
      <c r="G1649" s="33">
        <v>213686144</v>
      </c>
      <c r="H1649" s="33">
        <v>7488040189.8000002</v>
      </c>
      <c r="I1649" s="32">
        <v>7701726333.8000002</v>
      </c>
      <c r="J1649" s="33">
        <v>10683119573.799999</v>
      </c>
    </row>
    <row r="1650" spans="1:10">
      <c r="A1650" s="4">
        <v>45479</v>
      </c>
      <c r="B1650" s="32"/>
      <c r="C1650" s="32"/>
      <c r="D1650" s="33" t="s">
        <v>78</v>
      </c>
      <c r="E1650" s="33" t="s">
        <v>77</v>
      </c>
      <c r="F1650" s="33" t="s">
        <v>46</v>
      </c>
      <c r="G1650" s="33">
        <v>5365925</v>
      </c>
      <c r="H1650" s="33" t="s">
        <v>76</v>
      </c>
      <c r="I1650" s="32">
        <v>5365925</v>
      </c>
      <c r="J1650" s="33">
        <v>5365925</v>
      </c>
    </row>
    <row r="1651" spans="1:10">
      <c r="A1651" s="4">
        <v>45480</v>
      </c>
      <c r="B1651" s="32"/>
      <c r="C1651" s="32"/>
      <c r="D1651" s="33" t="s">
        <v>78</v>
      </c>
      <c r="E1651" s="33" t="s">
        <v>77</v>
      </c>
      <c r="F1651" s="33" t="s">
        <v>46</v>
      </c>
      <c r="G1651" s="33">
        <v>2901556</v>
      </c>
      <c r="H1651" s="33" t="s">
        <v>76</v>
      </c>
      <c r="I1651" s="32">
        <v>2901556</v>
      </c>
      <c r="J1651" s="33">
        <v>2901556</v>
      </c>
    </row>
    <row r="1652" spans="1:10">
      <c r="A1652" s="4">
        <v>45481</v>
      </c>
      <c r="B1652" s="32"/>
      <c r="C1652" s="32"/>
      <c r="D1652" s="33">
        <v>3867439308</v>
      </c>
      <c r="E1652" s="33">
        <v>3950</v>
      </c>
      <c r="F1652" s="33">
        <v>3867443258</v>
      </c>
      <c r="G1652" s="33">
        <v>220717769</v>
      </c>
      <c r="H1652" s="33" t="s">
        <v>76</v>
      </c>
      <c r="I1652" s="32">
        <v>220717769</v>
      </c>
      <c r="J1652" s="33">
        <v>4088161027</v>
      </c>
    </row>
    <row r="1653" spans="1:10">
      <c r="A1653" s="4">
        <v>45482</v>
      </c>
      <c r="B1653" s="32"/>
      <c r="C1653" s="32"/>
      <c r="D1653" s="33">
        <v>3620383235</v>
      </c>
      <c r="E1653" s="33">
        <v>964125</v>
      </c>
      <c r="F1653" s="33">
        <v>3621347360</v>
      </c>
      <c r="G1653" s="33">
        <v>322821272</v>
      </c>
      <c r="H1653" s="33" t="s">
        <v>50</v>
      </c>
      <c r="I1653" s="32">
        <v>322821272</v>
      </c>
      <c r="J1653" s="33">
        <v>3944168632</v>
      </c>
    </row>
    <row r="1654" spans="1:10">
      <c r="A1654" s="4">
        <v>45483</v>
      </c>
      <c r="B1654" s="32"/>
      <c r="C1654" s="32"/>
      <c r="D1654" s="33">
        <v>3161115892.4000001</v>
      </c>
      <c r="E1654" s="33" t="s">
        <v>77</v>
      </c>
      <c r="F1654" s="33">
        <v>3161115892.4000001</v>
      </c>
      <c r="G1654" s="33">
        <v>221425151</v>
      </c>
      <c r="H1654" s="33" t="s">
        <v>76</v>
      </c>
      <c r="I1654" s="32">
        <v>221425151</v>
      </c>
      <c r="J1654" s="33">
        <v>3382541043.4000001</v>
      </c>
    </row>
    <row r="1655" spans="1:10">
      <c r="A1655" s="4">
        <v>45484</v>
      </c>
      <c r="B1655" s="32"/>
      <c r="C1655" s="32"/>
      <c r="D1655" s="33">
        <v>4213740193</v>
      </c>
      <c r="E1655" s="33" t="s">
        <v>77</v>
      </c>
      <c r="F1655" s="33">
        <v>4213740193</v>
      </c>
      <c r="G1655" s="33">
        <v>175505305</v>
      </c>
      <c r="H1655" s="33" t="s">
        <v>76</v>
      </c>
      <c r="I1655" s="32">
        <v>175505305</v>
      </c>
      <c r="J1655" s="33">
        <v>4389245498</v>
      </c>
    </row>
    <row r="1656" spans="1:10">
      <c r="A1656" s="4">
        <v>45485</v>
      </c>
      <c r="B1656" s="32"/>
      <c r="C1656" s="32"/>
      <c r="D1656" s="33">
        <v>7642276167</v>
      </c>
      <c r="E1656" s="33">
        <v>29900</v>
      </c>
      <c r="F1656" s="33">
        <v>7642306067</v>
      </c>
      <c r="G1656" s="33">
        <v>146583469</v>
      </c>
      <c r="H1656" s="33">
        <v>100000000</v>
      </c>
      <c r="I1656" s="32">
        <v>246583469</v>
      </c>
      <c r="J1656" s="33">
        <v>7888889536</v>
      </c>
    </row>
    <row r="1657" spans="1:10">
      <c r="A1657" s="4">
        <v>45486</v>
      </c>
      <c r="B1657" s="32"/>
      <c r="C1657" s="32"/>
      <c r="D1657" s="33" t="s">
        <v>78</v>
      </c>
      <c r="E1657" s="33" t="s">
        <v>77</v>
      </c>
      <c r="F1657" s="33" t="s">
        <v>46</v>
      </c>
      <c r="G1657" s="33">
        <v>919223</v>
      </c>
      <c r="H1657" s="33" t="s">
        <v>76</v>
      </c>
      <c r="I1657" s="32">
        <v>919223</v>
      </c>
      <c r="J1657" s="33">
        <v>919223</v>
      </c>
    </row>
    <row r="1658" spans="1:10">
      <c r="A1658" s="4">
        <v>45487</v>
      </c>
      <c r="B1658" s="32"/>
      <c r="C1658" s="32"/>
      <c r="D1658" s="33" t="s">
        <v>78</v>
      </c>
      <c r="E1658" s="33" t="s">
        <v>77</v>
      </c>
      <c r="F1658" s="33" t="s">
        <v>46</v>
      </c>
      <c r="G1658" s="33" t="s">
        <v>46</v>
      </c>
      <c r="H1658" s="33" t="s">
        <v>76</v>
      </c>
      <c r="I1658" s="32" t="s">
        <v>46</v>
      </c>
      <c r="J1658" s="33" t="s">
        <v>46</v>
      </c>
    </row>
    <row r="1659" spans="1:10">
      <c r="A1659" s="4">
        <v>45488</v>
      </c>
      <c r="B1659" s="32"/>
      <c r="C1659" s="32"/>
      <c r="D1659" s="33">
        <v>4002083060</v>
      </c>
      <c r="E1659" s="33" t="s">
        <v>77</v>
      </c>
      <c r="F1659" s="33">
        <v>4002083060</v>
      </c>
      <c r="G1659" s="33">
        <v>223792524</v>
      </c>
      <c r="H1659" s="33" t="s">
        <v>76</v>
      </c>
      <c r="I1659" s="32">
        <v>223792524</v>
      </c>
      <c r="J1659" s="33">
        <v>4225875584</v>
      </c>
    </row>
    <row r="1660" spans="1:10">
      <c r="A1660" s="4">
        <v>45489</v>
      </c>
      <c r="B1660" s="32"/>
      <c r="C1660" s="32"/>
      <c r="D1660" s="33">
        <v>3642966646</v>
      </c>
      <c r="E1660" s="33">
        <v>12139983.27</v>
      </c>
      <c r="F1660" s="33">
        <v>3655106629.27</v>
      </c>
      <c r="G1660" s="33">
        <v>218155424</v>
      </c>
      <c r="H1660" s="33" t="s">
        <v>76</v>
      </c>
      <c r="I1660" s="32">
        <v>218155424</v>
      </c>
      <c r="J1660" s="33">
        <v>3873262053.27</v>
      </c>
    </row>
    <row r="1661" spans="1:10">
      <c r="A1661" s="4">
        <v>45490</v>
      </c>
      <c r="B1661" s="32"/>
      <c r="C1661" s="32"/>
      <c r="D1661" s="33">
        <v>2401522990</v>
      </c>
      <c r="E1661" s="33" t="s">
        <v>77</v>
      </c>
      <c r="F1661" s="33">
        <v>2401522990</v>
      </c>
      <c r="G1661" s="33">
        <v>178986445</v>
      </c>
      <c r="H1661" s="33" t="s">
        <v>76</v>
      </c>
      <c r="I1661" s="32">
        <v>178986445</v>
      </c>
      <c r="J1661" s="33">
        <v>2580509435</v>
      </c>
    </row>
    <row r="1662" spans="1:10">
      <c r="A1662" s="4">
        <v>45491</v>
      </c>
      <c r="B1662" s="32"/>
      <c r="C1662" s="32"/>
      <c r="D1662" s="33">
        <v>3092034003</v>
      </c>
      <c r="E1662" s="33">
        <v>16308.62</v>
      </c>
      <c r="F1662" s="33">
        <v>3092050311.6199999</v>
      </c>
      <c r="G1662" s="33">
        <v>233619860</v>
      </c>
      <c r="H1662" s="33" t="s">
        <v>76</v>
      </c>
      <c r="I1662" s="32">
        <v>233619860</v>
      </c>
      <c r="J1662" s="33">
        <v>3325670171.6199999</v>
      </c>
    </row>
    <row r="1663" spans="1:10">
      <c r="A1663" s="4">
        <v>45492</v>
      </c>
      <c r="B1663" s="32"/>
      <c r="C1663" s="32"/>
      <c r="D1663" s="33">
        <v>7889490181</v>
      </c>
      <c r="E1663" s="33" t="s">
        <v>77</v>
      </c>
      <c r="F1663" s="33">
        <v>7889490181</v>
      </c>
      <c r="G1663" s="33">
        <v>89223892</v>
      </c>
      <c r="H1663" s="33">
        <v>100000000</v>
      </c>
      <c r="I1663" s="32">
        <v>189223892</v>
      </c>
      <c r="J1663" s="33">
        <v>8078714073</v>
      </c>
    </row>
    <row r="1664" spans="1:10">
      <c r="A1664" s="4">
        <v>45493</v>
      </c>
      <c r="B1664" s="32"/>
      <c r="C1664" s="32"/>
      <c r="D1664" s="33" t="s">
        <v>78</v>
      </c>
      <c r="E1664" s="33" t="s">
        <v>77</v>
      </c>
      <c r="F1664" s="33" t="s">
        <v>46</v>
      </c>
      <c r="G1664" s="33">
        <v>7383650</v>
      </c>
      <c r="H1664" s="33" t="s">
        <v>76</v>
      </c>
      <c r="I1664" s="32">
        <v>7383650</v>
      </c>
      <c r="J1664" s="33">
        <v>7383650</v>
      </c>
    </row>
    <row r="1665" spans="1:10">
      <c r="A1665" s="4">
        <v>45494</v>
      </c>
      <c r="B1665" s="32"/>
      <c r="C1665" s="32"/>
      <c r="D1665" s="33" t="s">
        <v>78</v>
      </c>
      <c r="E1665" s="33" t="s">
        <v>77</v>
      </c>
      <c r="F1665" s="33" t="s">
        <v>46</v>
      </c>
      <c r="G1665" s="33">
        <v>157856709</v>
      </c>
      <c r="H1665" s="33" t="s">
        <v>76</v>
      </c>
      <c r="I1665" s="32">
        <v>157856709</v>
      </c>
      <c r="J1665" s="33">
        <v>157856709</v>
      </c>
    </row>
    <row r="1666" spans="1:10">
      <c r="A1666" s="4">
        <v>45495</v>
      </c>
      <c r="B1666" s="32"/>
      <c r="C1666" s="32"/>
      <c r="D1666" s="33">
        <v>5534414493.75</v>
      </c>
      <c r="E1666" s="33" t="s">
        <v>77</v>
      </c>
      <c r="F1666" s="33">
        <v>5534414493.75</v>
      </c>
      <c r="G1666" s="33">
        <v>129441101</v>
      </c>
      <c r="H1666" s="33" t="s">
        <v>76</v>
      </c>
      <c r="I1666" s="32">
        <v>129441101</v>
      </c>
      <c r="J1666" s="33">
        <v>5663855594.75</v>
      </c>
    </row>
    <row r="1667" spans="1:10">
      <c r="A1667" s="4">
        <v>45496</v>
      </c>
      <c r="B1667" s="32"/>
      <c r="C1667" s="32">
        <v>848941066.90999997</v>
      </c>
      <c r="D1667" s="33">
        <v>3297788074.5900002</v>
      </c>
      <c r="E1667" s="33">
        <v>1503842</v>
      </c>
      <c r="F1667" s="33">
        <v>3299291916.5900002</v>
      </c>
      <c r="G1667" s="33">
        <v>340112766</v>
      </c>
      <c r="H1667" s="33" t="s">
        <v>76</v>
      </c>
      <c r="I1667" s="32">
        <v>340112766</v>
      </c>
      <c r="J1667" s="33">
        <v>3639404682.5900002</v>
      </c>
    </row>
    <row r="1668" spans="1:10">
      <c r="A1668" s="4">
        <v>45497</v>
      </c>
      <c r="B1668" s="32"/>
      <c r="C1668" s="32"/>
      <c r="D1668" s="33">
        <v>8292031655.8000002</v>
      </c>
      <c r="E1668" s="33">
        <v>124032</v>
      </c>
      <c r="F1668" s="33">
        <v>8292155687.8000002</v>
      </c>
      <c r="G1668" s="33">
        <v>321894385</v>
      </c>
      <c r="H1668" s="33" t="s">
        <v>76</v>
      </c>
      <c r="I1668" s="32">
        <v>321894385</v>
      </c>
      <c r="J1668" s="33">
        <v>8614050072.7999992</v>
      </c>
    </row>
    <row r="1669" spans="1:10">
      <c r="A1669" s="4">
        <v>45498</v>
      </c>
      <c r="B1669" s="32"/>
      <c r="C1669" s="32"/>
      <c r="D1669" s="33">
        <v>3568424997</v>
      </c>
      <c r="E1669" s="33" t="s">
        <v>77</v>
      </c>
      <c r="F1669" s="33">
        <v>3568424997</v>
      </c>
      <c r="G1669" s="33">
        <v>286741414</v>
      </c>
      <c r="H1669" s="33" t="s">
        <v>76</v>
      </c>
      <c r="I1669" s="32">
        <v>286741414</v>
      </c>
      <c r="J1669" s="33">
        <v>3855166411</v>
      </c>
    </row>
    <row r="1670" spans="1:10">
      <c r="A1670" s="4">
        <v>45499</v>
      </c>
      <c r="B1670" s="32"/>
      <c r="C1670" s="32"/>
      <c r="D1670" s="33">
        <v>3666666710</v>
      </c>
      <c r="E1670" s="33">
        <v>9151897.4499999993</v>
      </c>
      <c r="F1670" s="33">
        <v>3675818607.4499998</v>
      </c>
      <c r="G1670" s="33">
        <v>364509944</v>
      </c>
      <c r="H1670" s="33">
        <v>100000000</v>
      </c>
      <c r="I1670" s="32">
        <v>464509944</v>
      </c>
      <c r="J1670" s="33">
        <v>4140328551.4499998</v>
      </c>
    </row>
    <row r="1671" spans="1:10">
      <c r="A1671" s="4">
        <v>45500</v>
      </c>
      <c r="B1671" s="32"/>
      <c r="C1671" s="32"/>
      <c r="D1671" s="33" t="s">
        <v>78</v>
      </c>
      <c r="E1671" s="33" t="s">
        <v>77</v>
      </c>
      <c r="F1671" s="33" t="s">
        <v>46</v>
      </c>
      <c r="G1671" s="33">
        <v>2112219</v>
      </c>
      <c r="H1671" s="33" t="s">
        <v>76</v>
      </c>
      <c r="I1671" s="32">
        <v>2112219</v>
      </c>
      <c r="J1671" s="33">
        <v>2112219</v>
      </c>
    </row>
    <row r="1672" spans="1:10" ht="30.75">
      <c r="A1672" s="4">
        <v>45501</v>
      </c>
      <c r="B1672" s="32"/>
      <c r="C1672" s="32"/>
      <c r="D1672" s="33" t="s">
        <v>82</v>
      </c>
      <c r="E1672" s="33" t="s">
        <v>79</v>
      </c>
      <c r="F1672" s="33" t="s">
        <v>82</v>
      </c>
      <c r="G1672" s="33" t="s">
        <v>46</v>
      </c>
      <c r="H1672" s="33" t="s">
        <v>50</v>
      </c>
      <c r="I1672" s="32" t="s">
        <v>81</v>
      </c>
      <c r="J1672" s="33" t="s">
        <v>82</v>
      </c>
    </row>
    <row r="1673" spans="1:10">
      <c r="A1673" s="4">
        <v>45502</v>
      </c>
      <c r="B1673" s="32"/>
      <c r="C1673" s="32"/>
      <c r="D1673" s="33">
        <v>4462671033.8000002</v>
      </c>
      <c r="E1673" s="33">
        <v>385279619.82999998</v>
      </c>
      <c r="F1673" s="33">
        <v>4847950653.6300001</v>
      </c>
      <c r="G1673" s="33">
        <v>345017925.27999997</v>
      </c>
      <c r="H1673" s="33" t="s">
        <v>76</v>
      </c>
      <c r="I1673" s="32">
        <v>345017925.27999997</v>
      </c>
      <c r="J1673" s="33">
        <v>5192968578.9099998</v>
      </c>
    </row>
    <row r="1674" spans="1:10">
      <c r="A1674" s="4">
        <v>45503</v>
      </c>
      <c r="B1674" s="32"/>
      <c r="C1674" s="32"/>
      <c r="D1674" s="33">
        <v>11404768398.200001</v>
      </c>
      <c r="E1674" s="33">
        <v>267108541.19</v>
      </c>
      <c r="F1674" s="33">
        <v>11671876939.389999</v>
      </c>
      <c r="G1674" s="33">
        <v>153580068</v>
      </c>
      <c r="H1674" s="33" t="s">
        <v>76</v>
      </c>
      <c r="I1674" s="32">
        <v>153580068</v>
      </c>
      <c r="J1674" s="33">
        <v>11825457007.389999</v>
      </c>
    </row>
    <row r="1675" spans="1:10">
      <c r="A1675" s="4">
        <v>45504</v>
      </c>
      <c r="B1675" s="32"/>
      <c r="C1675" s="32"/>
      <c r="D1675" s="33">
        <v>2965060263.0100002</v>
      </c>
      <c r="E1675" s="33">
        <v>939526062.55999994</v>
      </c>
      <c r="F1675" s="33">
        <v>3904586325.5700002</v>
      </c>
      <c r="G1675" s="33">
        <v>188485731</v>
      </c>
      <c r="H1675" s="33" t="s">
        <v>76</v>
      </c>
      <c r="I1675" s="32">
        <v>188485731</v>
      </c>
      <c r="J1675" s="33">
        <v>4093072056.5700002</v>
      </c>
    </row>
    <row r="1676" spans="1:10">
      <c r="A1676" s="4">
        <v>45505</v>
      </c>
      <c r="B1676" s="32"/>
      <c r="C1676" s="32"/>
      <c r="D1676" s="33">
        <v>2601805456</v>
      </c>
      <c r="E1676" s="33">
        <v>313435233.30000001</v>
      </c>
      <c r="F1676" s="33">
        <v>2915240689.3000002</v>
      </c>
      <c r="G1676" s="33">
        <v>101405526</v>
      </c>
      <c r="H1676" s="33" t="s">
        <v>76</v>
      </c>
      <c r="I1676" s="32">
        <v>101405526</v>
      </c>
      <c r="J1676" s="32">
        <v>3016646215.3000002</v>
      </c>
    </row>
    <row r="1677" spans="1:10">
      <c r="A1677" s="4">
        <v>45506</v>
      </c>
      <c r="B1677" s="32"/>
      <c r="C1677" s="32"/>
      <c r="D1677" s="33">
        <v>7976894816.3900003</v>
      </c>
      <c r="E1677" s="33" t="s">
        <v>77</v>
      </c>
      <c r="F1677" s="33">
        <v>7976894816.3900003</v>
      </c>
      <c r="G1677" s="33">
        <v>154872642</v>
      </c>
      <c r="H1677" s="33">
        <v>100000000</v>
      </c>
      <c r="I1677" s="32">
        <v>254872642</v>
      </c>
      <c r="J1677" s="32">
        <v>8231767458.3900003</v>
      </c>
    </row>
    <row r="1678" spans="1:10">
      <c r="A1678" s="4">
        <v>45507</v>
      </c>
      <c r="B1678" s="32"/>
      <c r="C1678" s="32"/>
      <c r="D1678" s="33" t="s">
        <v>78</v>
      </c>
      <c r="E1678" s="33" t="s">
        <v>77</v>
      </c>
      <c r="F1678" s="33" t="s">
        <v>46</v>
      </c>
      <c r="G1678" s="33">
        <v>164143911</v>
      </c>
      <c r="H1678" s="33" t="s">
        <v>76</v>
      </c>
      <c r="I1678" s="32">
        <v>164143911</v>
      </c>
      <c r="J1678" s="32">
        <v>164143911</v>
      </c>
    </row>
    <row r="1679" spans="1:10">
      <c r="A1679" s="4">
        <v>45508</v>
      </c>
      <c r="B1679" s="32"/>
      <c r="C1679" s="32"/>
      <c r="D1679" s="33" t="s">
        <v>78</v>
      </c>
      <c r="E1679" s="33" t="s">
        <v>77</v>
      </c>
      <c r="F1679" s="33" t="s">
        <v>46</v>
      </c>
      <c r="G1679" s="33" t="s">
        <v>46</v>
      </c>
      <c r="H1679" s="33" t="s">
        <v>76</v>
      </c>
      <c r="I1679" s="32" t="s">
        <v>46</v>
      </c>
      <c r="J1679" s="32" t="s">
        <v>46</v>
      </c>
    </row>
    <row r="1680" spans="1:10">
      <c r="A1680" s="4">
        <v>45509</v>
      </c>
      <c r="B1680" s="32"/>
      <c r="C1680" s="32"/>
      <c r="D1680" s="33">
        <v>3051089910.1999998</v>
      </c>
      <c r="E1680" s="33">
        <v>7997.75</v>
      </c>
      <c r="F1680" s="33">
        <v>3051097907.9499998</v>
      </c>
      <c r="G1680" s="33">
        <v>160367105</v>
      </c>
      <c r="H1680" s="33" t="s">
        <v>76</v>
      </c>
      <c r="I1680" s="32">
        <v>160367105</v>
      </c>
      <c r="J1680" s="32">
        <v>3211465012.9499998</v>
      </c>
    </row>
    <row r="1681" spans="1:10">
      <c r="A1681" s="4">
        <v>45510</v>
      </c>
      <c r="B1681" s="32"/>
      <c r="C1681" s="32"/>
      <c r="D1681" s="33">
        <v>13095908091.26</v>
      </c>
      <c r="E1681" s="33" t="s">
        <v>77</v>
      </c>
      <c r="F1681" s="33">
        <v>13095908091.26</v>
      </c>
      <c r="G1681" s="33">
        <v>402209561</v>
      </c>
      <c r="H1681" s="33">
        <v>9517562596</v>
      </c>
      <c r="I1681" s="32">
        <v>9919772157</v>
      </c>
      <c r="J1681" s="32">
        <v>23015680248.259998</v>
      </c>
    </row>
    <row r="1682" spans="1:10">
      <c r="A1682" s="4">
        <v>45511</v>
      </c>
      <c r="B1682" s="32"/>
      <c r="C1682" s="32"/>
      <c r="D1682" s="33">
        <v>3561189845</v>
      </c>
      <c r="E1682" s="33" t="s">
        <v>77</v>
      </c>
      <c r="F1682" s="33">
        <v>3561189845</v>
      </c>
      <c r="G1682" s="33">
        <v>168180687</v>
      </c>
      <c r="H1682" s="33" t="s">
        <v>76</v>
      </c>
      <c r="I1682" s="32">
        <v>168180687</v>
      </c>
      <c r="J1682" s="32">
        <v>3729370532</v>
      </c>
    </row>
    <row r="1683" spans="1:10">
      <c r="A1683" s="4">
        <v>45512</v>
      </c>
      <c r="B1683" s="32"/>
      <c r="C1683" s="32"/>
      <c r="D1683" s="33">
        <v>3570350259</v>
      </c>
      <c r="E1683" s="33" t="s">
        <v>77</v>
      </c>
      <c r="F1683" s="33">
        <v>3570350259</v>
      </c>
      <c r="G1683" s="33">
        <v>248090870</v>
      </c>
      <c r="H1683" s="33" t="s">
        <v>76</v>
      </c>
      <c r="I1683" s="32">
        <v>248090870</v>
      </c>
      <c r="J1683" s="32">
        <v>3818441129</v>
      </c>
    </row>
    <row r="1684" spans="1:10">
      <c r="A1684" s="4">
        <v>45513</v>
      </c>
      <c r="B1684" s="32"/>
      <c r="C1684" s="32"/>
      <c r="D1684" s="33">
        <v>2239026680.5900002</v>
      </c>
      <c r="E1684" s="33" t="s">
        <v>79</v>
      </c>
      <c r="F1684" s="33">
        <v>2239026680.5900002</v>
      </c>
      <c r="G1684" s="33">
        <v>102217670</v>
      </c>
      <c r="H1684" s="33" t="s">
        <v>50</v>
      </c>
      <c r="I1684" s="32">
        <v>102217670</v>
      </c>
      <c r="J1684" s="32">
        <v>2341244350.5900002</v>
      </c>
    </row>
    <row r="1685" spans="1:10">
      <c r="A1685" s="4">
        <v>45514</v>
      </c>
      <c r="B1685" s="32"/>
      <c r="C1685" s="32"/>
      <c r="D1685" s="33" t="s">
        <v>78</v>
      </c>
      <c r="E1685" s="33" t="s">
        <v>77</v>
      </c>
      <c r="F1685" s="33" t="s">
        <v>46</v>
      </c>
      <c r="G1685" s="33">
        <v>163017095</v>
      </c>
      <c r="H1685" s="33">
        <v>100000000</v>
      </c>
      <c r="I1685" s="32">
        <v>263017095</v>
      </c>
      <c r="J1685" s="32">
        <v>263017095</v>
      </c>
    </row>
    <row r="1686" spans="1:10">
      <c r="A1686" s="4">
        <v>45515</v>
      </c>
      <c r="B1686" s="32"/>
      <c r="C1686" s="32"/>
      <c r="D1686" s="33" t="s">
        <v>78</v>
      </c>
      <c r="E1686" s="33" t="s">
        <v>77</v>
      </c>
      <c r="F1686" s="33" t="s">
        <v>46</v>
      </c>
      <c r="G1686" s="33" t="s">
        <v>46</v>
      </c>
      <c r="H1686" s="33" t="s">
        <v>76</v>
      </c>
      <c r="I1686" s="32" t="s">
        <v>46</v>
      </c>
      <c r="J1686" s="32" t="s">
        <v>46</v>
      </c>
    </row>
    <row r="1687" spans="1:10">
      <c r="A1687" s="4">
        <v>45516</v>
      </c>
      <c r="B1687" s="32"/>
      <c r="C1687" s="32"/>
      <c r="D1687" s="33">
        <v>4237292143.25</v>
      </c>
      <c r="E1687" s="33" t="s">
        <v>77</v>
      </c>
      <c r="F1687" s="33">
        <v>4237292143.25</v>
      </c>
      <c r="G1687" s="33">
        <v>184790741</v>
      </c>
      <c r="H1687" s="33" t="s">
        <v>76</v>
      </c>
      <c r="I1687" s="32">
        <v>184790741</v>
      </c>
      <c r="J1687" s="32">
        <v>4422082884.25</v>
      </c>
    </row>
    <row r="1688" spans="1:10">
      <c r="A1688" s="4">
        <v>45517</v>
      </c>
      <c r="B1688" s="32"/>
      <c r="C1688" s="32"/>
      <c r="D1688" s="33">
        <v>8891570643.25</v>
      </c>
      <c r="E1688" s="33" t="s">
        <v>77</v>
      </c>
      <c r="F1688" s="33">
        <v>8891570643.25</v>
      </c>
      <c r="G1688" s="33">
        <v>90272055</v>
      </c>
      <c r="H1688" s="33" t="s">
        <v>76</v>
      </c>
      <c r="I1688" s="32">
        <v>90272055</v>
      </c>
      <c r="J1688" s="32">
        <v>8981842698.25</v>
      </c>
    </row>
    <row r="1689" spans="1:10">
      <c r="A1689" s="4">
        <v>45518</v>
      </c>
      <c r="B1689" s="32"/>
      <c r="C1689" s="32"/>
      <c r="D1689" s="33">
        <v>9016654512.25</v>
      </c>
      <c r="E1689" s="33" t="s">
        <v>77</v>
      </c>
      <c r="F1689" s="33">
        <v>9016654512.25</v>
      </c>
      <c r="G1689" s="33">
        <v>72142137</v>
      </c>
      <c r="H1689" s="33"/>
      <c r="I1689" s="32">
        <v>72142137</v>
      </c>
      <c r="J1689" s="32">
        <v>9088796649.25</v>
      </c>
    </row>
    <row r="1690" spans="1:10">
      <c r="A1690" s="4">
        <v>45519</v>
      </c>
      <c r="B1690" s="32"/>
      <c r="C1690" s="32"/>
      <c r="D1690" s="33">
        <v>3465131943</v>
      </c>
      <c r="E1690" s="33">
        <v>13759200</v>
      </c>
      <c r="F1690" s="33">
        <v>3478891143</v>
      </c>
      <c r="G1690" s="33">
        <v>203598069</v>
      </c>
      <c r="H1690" s="33"/>
      <c r="I1690" s="32">
        <v>203598069</v>
      </c>
      <c r="J1690" s="32">
        <v>3682489212</v>
      </c>
    </row>
    <row r="1691" spans="1:10">
      <c r="A1691" s="4">
        <v>45520</v>
      </c>
      <c r="B1691" s="32"/>
      <c r="C1691" s="32"/>
      <c r="D1691" s="33">
        <v>5686497937.8599997</v>
      </c>
      <c r="E1691" s="33" t="s">
        <v>77</v>
      </c>
      <c r="F1691" s="33">
        <v>5686497937.8599997</v>
      </c>
      <c r="G1691" s="33">
        <v>296125724</v>
      </c>
      <c r="H1691" s="33">
        <v>100000000</v>
      </c>
      <c r="I1691" s="32">
        <v>396125724</v>
      </c>
      <c r="J1691" s="32">
        <v>6082623661.8599997</v>
      </c>
    </row>
    <row r="1692" spans="1:10">
      <c r="A1692" s="4">
        <v>45521</v>
      </c>
      <c r="B1692" s="32"/>
      <c r="C1692" s="32"/>
      <c r="D1692" s="33" t="s">
        <v>78</v>
      </c>
      <c r="E1692" s="33" t="s">
        <v>77</v>
      </c>
      <c r="F1692" s="33" t="s">
        <v>46</v>
      </c>
      <c r="G1692" s="33">
        <v>9062453</v>
      </c>
      <c r="H1692" s="33" t="s">
        <v>76</v>
      </c>
      <c r="I1692" s="32">
        <v>9062453</v>
      </c>
      <c r="J1692" s="32">
        <v>9062453</v>
      </c>
    </row>
    <row r="1693" spans="1:10">
      <c r="A1693" s="4">
        <v>45522</v>
      </c>
      <c r="B1693" s="32"/>
      <c r="C1693" s="32"/>
      <c r="D1693" s="33" t="s">
        <v>78</v>
      </c>
      <c r="E1693" s="33" t="s">
        <v>77</v>
      </c>
      <c r="F1693" s="33" t="s">
        <v>46</v>
      </c>
      <c r="G1693" s="33" t="s">
        <v>46</v>
      </c>
      <c r="H1693" s="33" t="s">
        <v>76</v>
      </c>
      <c r="I1693" s="32" t="s">
        <v>46</v>
      </c>
      <c r="J1693" s="32" t="s">
        <v>46</v>
      </c>
    </row>
    <row r="1694" spans="1:10">
      <c r="A1694" s="4">
        <v>45523</v>
      </c>
      <c r="B1694" s="32"/>
      <c r="C1694" s="32"/>
      <c r="D1694" s="33" t="s">
        <v>78</v>
      </c>
      <c r="E1694" s="33" t="s">
        <v>77</v>
      </c>
      <c r="F1694" s="33" t="s">
        <v>46</v>
      </c>
      <c r="G1694" s="33">
        <v>119586799</v>
      </c>
      <c r="H1694" s="33" t="s">
        <v>76</v>
      </c>
      <c r="I1694" s="32">
        <v>119586799</v>
      </c>
      <c r="J1694" s="32">
        <v>119586799</v>
      </c>
    </row>
    <row r="1695" spans="1:10">
      <c r="A1695" s="4">
        <v>45524</v>
      </c>
      <c r="B1695" s="32"/>
      <c r="C1695" s="32"/>
      <c r="D1695" s="33">
        <v>5495813669.4200001</v>
      </c>
      <c r="E1695" s="33">
        <v>7280000</v>
      </c>
      <c r="F1695" s="33">
        <v>5503093669.4200001</v>
      </c>
      <c r="G1695" s="33">
        <v>266365266</v>
      </c>
      <c r="H1695" s="33"/>
      <c r="I1695" s="32">
        <v>266365266</v>
      </c>
      <c r="J1695" s="32">
        <v>5769458935.4200001</v>
      </c>
    </row>
    <row r="1696" spans="1:10">
      <c r="A1696" s="4">
        <v>45525</v>
      </c>
      <c r="B1696" s="32"/>
      <c r="C1696" s="32"/>
      <c r="D1696" s="33">
        <v>16043305314</v>
      </c>
      <c r="E1696" s="33"/>
      <c r="F1696" s="33">
        <v>16043305314</v>
      </c>
      <c r="G1696" s="33">
        <v>311450310</v>
      </c>
      <c r="H1696" s="33"/>
      <c r="I1696" s="32">
        <v>311450310</v>
      </c>
      <c r="J1696" s="32">
        <v>16354755624</v>
      </c>
    </row>
    <row r="1697" spans="1:10">
      <c r="A1697" s="4">
        <v>45526</v>
      </c>
      <c r="B1697" s="32"/>
      <c r="C1697" s="32"/>
      <c r="D1697" s="33">
        <v>5017018643</v>
      </c>
      <c r="E1697" s="33" t="s">
        <v>77</v>
      </c>
      <c r="F1697" s="33">
        <v>5017018643</v>
      </c>
      <c r="G1697" s="33">
        <v>312603581</v>
      </c>
      <c r="H1697" s="33" t="s">
        <v>76</v>
      </c>
      <c r="I1697" s="32">
        <v>312603581</v>
      </c>
      <c r="J1697" s="32">
        <v>5329622224</v>
      </c>
    </row>
    <row r="1698" spans="1:10">
      <c r="A1698" s="4">
        <v>45527</v>
      </c>
      <c r="B1698" s="32"/>
      <c r="C1698" s="32"/>
      <c r="D1698" s="33">
        <v>5414895978.6000004</v>
      </c>
      <c r="E1698" s="33" t="s">
        <v>77</v>
      </c>
      <c r="F1698" s="33">
        <v>5414895978.6000004</v>
      </c>
      <c r="G1698" s="33">
        <v>166733901</v>
      </c>
      <c r="H1698" s="33">
        <v>100000000</v>
      </c>
      <c r="I1698" s="32">
        <v>266733901</v>
      </c>
      <c r="J1698" s="32">
        <v>5681629879.6000004</v>
      </c>
    </row>
    <row r="1699" spans="1:10">
      <c r="A1699" s="4">
        <v>45528</v>
      </c>
      <c r="B1699" s="32"/>
      <c r="C1699" s="32"/>
      <c r="D1699" s="33" t="s">
        <v>78</v>
      </c>
      <c r="E1699" s="33" t="s">
        <v>77</v>
      </c>
      <c r="F1699" s="33" t="s">
        <v>46</v>
      </c>
      <c r="G1699" s="33">
        <v>2181650</v>
      </c>
      <c r="H1699" s="33" t="s">
        <v>76</v>
      </c>
      <c r="I1699" s="32">
        <v>2181650</v>
      </c>
      <c r="J1699" s="32">
        <v>2181650</v>
      </c>
    </row>
    <row r="1700" spans="1:10">
      <c r="A1700" s="4">
        <v>45529</v>
      </c>
      <c r="B1700" s="32"/>
      <c r="C1700" s="32"/>
      <c r="D1700" s="33" t="s">
        <v>78</v>
      </c>
      <c r="E1700" s="33" t="s">
        <v>77</v>
      </c>
      <c r="F1700" s="33" t="s">
        <v>46</v>
      </c>
      <c r="G1700" s="33">
        <v>162079399</v>
      </c>
      <c r="H1700" s="33" t="s">
        <v>76</v>
      </c>
      <c r="I1700" s="32">
        <v>162079399</v>
      </c>
      <c r="J1700" s="32">
        <v>162079399</v>
      </c>
    </row>
    <row r="1701" spans="1:10">
      <c r="A1701" s="4">
        <v>45530</v>
      </c>
      <c r="B1701" s="32"/>
      <c r="C1701" s="32"/>
      <c r="D1701" s="33">
        <v>12292130685</v>
      </c>
      <c r="E1701" s="33">
        <v>10853</v>
      </c>
      <c r="F1701" s="33">
        <v>12292141538</v>
      </c>
      <c r="G1701" s="33">
        <v>150307956</v>
      </c>
      <c r="H1701" s="33" t="s">
        <v>76</v>
      </c>
      <c r="I1701" s="32">
        <v>150307956</v>
      </c>
      <c r="J1701" s="32">
        <v>12442449494</v>
      </c>
    </row>
    <row r="1702" spans="1:10">
      <c r="A1702" s="4">
        <v>45531</v>
      </c>
      <c r="B1702" s="32"/>
      <c r="C1702" s="32"/>
      <c r="D1702" s="33">
        <v>3280836245.4000001</v>
      </c>
      <c r="E1702" s="33">
        <v>6961500</v>
      </c>
      <c r="F1702" s="33">
        <v>3287797745.4000001</v>
      </c>
      <c r="G1702" s="33">
        <v>408108904</v>
      </c>
      <c r="H1702" s="33"/>
      <c r="I1702" s="32">
        <v>408108904</v>
      </c>
      <c r="J1702" s="32">
        <v>3695906649.4000001</v>
      </c>
    </row>
    <row r="1703" spans="1:10">
      <c r="A1703" s="4">
        <v>45532</v>
      </c>
      <c r="B1703" s="32"/>
      <c r="C1703" s="32"/>
      <c r="D1703" s="33">
        <v>6051730051</v>
      </c>
      <c r="E1703" s="33" t="s">
        <v>79</v>
      </c>
      <c r="F1703" s="33">
        <v>6051730051</v>
      </c>
      <c r="G1703" s="33">
        <v>68964333</v>
      </c>
      <c r="H1703" s="33" t="s">
        <v>50</v>
      </c>
      <c r="I1703" s="32">
        <v>68964333</v>
      </c>
      <c r="J1703" s="32">
        <v>6120694384</v>
      </c>
    </row>
    <row r="1704" spans="1:10">
      <c r="A1704" s="4">
        <v>45533</v>
      </c>
      <c r="B1704" s="32"/>
      <c r="C1704" s="32"/>
      <c r="D1704" s="33">
        <v>1849095877.47</v>
      </c>
      <c r="E1704" s="33">
        <v>42133.71</v>
      </c>
      <c r="F1704" s="33">
        <v>1849138011.1800001</v>
      </c>
      <c r="G1704" s="33">
        <v>178775484</v>
      </c>
      <c r="H1704" s="33" t="s">
        <v>76</v>
      </c>
      <c r="I1704" s="32">
        <v>178775484</v>
      </c>
      <c r="J1704" s="32">
        <v>2027913495.1800001</v>
      </c>
    </row>
    <row r="1705" spans="1:10">
      <c r="A1705" s="4">
        <v>45534</v>
      </c>
      <c r="B1705" s="32"/>
      <c r="C1705" s="32"/>
      <c r="D1705" s="33">
        <v>2925432267.3200002</v>
      </c>
      <c r="E1705" s="33" t="s">
        <v>77</v>
      </c>
      <c r="F1705" s="33">
        <v>2925432267.3200002</v>
      </c>
      <c r="G1705" s="33">
        <v>323902344</v>
      </c>
      <c r="H1705" s="33">
        <v>100000000</v>
      </c>
      <c r="I1705" s="32">
        <v>423902344</v>
      </c>
      <c r="J1705" s="32">
        <v>3349334611.3200002</v>
      </c>
    </row>
    <row r="1706" spans="1:10">
      <c r="A1706" s="4">
        <v>45535</v>
      </c>
      <c r="B1706" s="32"/>
      <c r="C1706" s="32"/>
      <c r="D1706" s="33"/>
      <c r="E1706" s="33"/>
      <c r="F1706" s="33"/>
      <c r="G1706" s="33">
        <v>2873507</v>
      </c>
      <c r="H1706" s="33"/>
      <c r="I1706" s="32">
        <v>2873507</v>
      </c>
      <c r="J1706" s="32">
        <v>2873507</v>
      </c>
    </row>
    <row r="1707" spans="1:10">
      <c r="A1707" s="4">
        <v>45536</v>
      </c>
      <c r="B1707" s="32"/>
      <c r="C1707" s="32"/>
      <c r="D1707" s="33" t="s">
        <v>78</v>
      </c>
      <c r="E1707" s="33" t="s">
        <v>77</v>
      </c>
      <c r="F1707" s="33" t="s">
        <v>46</v>
      </c>
      <c r="G1707" s="33" t="s">
        <v>46</v>
      </c>
      <c r="H1707" s="33" t="s">
        <v>76</v>
      </c>
      <c r="I1707" s="32" t="s">
        <v>46</v>
      </c>
      <c r="J1707" s="32" t="s">
        <v>46</v>
      </c>
    </row>
    <row r="1708" spans="1:10">
      <c r="A1708" s="4">
        <v>45537</v>
      </c>
      <c r="B1708" s="32"/>
      <c r="C1708" s="32"/>
      <c r="D1708" s="33">
        <v>5931855151.6599998</v>
      </c>
      <c r="E1708" s="33" t="s">
        <v>77</v>
      </c>
      <c r="F1708" s="33">
        <v>5931855151.6599998</v>
      </c>
      <c r="G1708" s="33">
        <v>378123263</v>
      </c>
      <c r="H1708" s="33" t="s">
        <v>76</v>
      </c>
      <c r="I1708" s="32">
        <v>378123263</v>
      </c>
      <c r="J1708" s="32">
        <v>6309978414.6599998</v>
      </c>
    </row>
    <row r="1709" spans="1:10">
      <c r="A1709" s="4">
        <v>45538</v>
      </c>
      <c r="B1709" s="32"/>
      <c r="C1709" s="32"/>
      <c r="D1709" s="33">
        <v>4268971105.3600001</v>
      </c>
      <c r="E1709" s="33">
        <v>75662</v>
      </c>
      <c r="F1709" s="33">
        <v>4269046767.3600001</v>
      </c>
      <c r="G1709" s="33">
        <v>474651313</v>
      </c>
      <c r="H1709" s="33" t="s">
        <v>76</v>
      </c>
      <c r="I1709" s="32">
        <v>474651313</v>
      </c>
      <c r="J1709" s="32">
        <v>4743698080.3599997</v>
      </c>
    </row>
    <row r="1710" spans="1:10">
      <c r="A1710" s="4">
        <v>45539</v>
      </c>
      <c r="B1710" s="32"/>
      <c r="C1710" s="32"/>
      <c r="D1710" s="33">
        <v>11048408870.360001</v>
      </c>
      <c r="E1710" s="33" t="s">
        <v>77</v>
      </c>
      <c r="F1710" s="33">
        <v>11048408870.360001</v>
      </c>
      <c r="G1710" s="33">
        <v>2317166844</v>
      </c>
      <c r="H1710" s="33" t="s">
        <v>76</v>
      </c>
      <c r="I1710" s="32">
        <v>2317166844</v>
      </c>
      <c r="J1710" s="32">
        <v>13365575714.360001</v>
      </c>
    </row>
    <row r="1711" spans="1:10">
      <c r="A1711" s="4">
        <v>45540</v>
      </c>
      <c r="B1711" s="32"/>
      <c r="C1711" s="32"/>
      <c r="D1711" s="33">
        <v>3351712267</v>
      </c>
      <c r="E1711" s="33" t="s">
        <v>77</v>
      </c>
      <c r="F1711" s="33">
        <v>3351712267</v>
      </c>
      <c r="G1711" s="33">
        <v>1972912911</v>
      </c>
      <c r="H1711" s="33" t="s">
        <v>76</v>
      </c>
      <c r="I1711" s="32">
        <v>1972912911</v>
      </c>
      <c r="J1711" s="32">
        <v>5324625178</v>
      </c>
    </row>
    <row r="1712" spans="1:10">
      <c r="A1712" s="4">
        <v>45541</v>
      </c>
      <c r="B1712" s="32"/>
      <c r="C1712" s="32"/>
      <c r="D1712" s="33">
        <v>11455709159.639999</v>
      </c>
      <c r="E1712" s="33" t="s">
        <v>77</v>
      </c>
      <c r="F1712" s="33">
        <v>11455709159.639999</v>
      </c>
      <c r="G1712" s="33">
        <v>188115453</v>
      </c>
      <c r="H1712" s="33">
        <v>7672690574</v>
      </c>
      <c r="I1712" s="32">
        <v>7860806027</v>
      </c>
      <c r="J1712" s="32">
        <v>19316515186.639999</v>
      </c>
    </row>
    <row r="1713" spans="1:10">
      <c r="A1713" s="4">
        <v>45542</v>
      </c>
      <c r="B1713" s="32"/>
      <c r="C1713" s="32"/>
      <c r="D1713" s="33" t="s">
        <v>78</v>
      </c>
      <c r="E1713" s="33" t="s">
        <v>77</v>
      </c>
      <c r="F1713" s="33" t="s">
        <v>46</v>
      </c>
      <c r="G1713" s="33">
        <v>4521450</v>
      </c>
      <c r="H1713" s="33" t="s">
        <v>76</v>
      </c>
      <c r="I1713" s="32">
        <v>4521450</v>
      </c>
      <c r="J1713" s="32">
        <v>4521450</v>
      </c>
    </row>
    <row r="1714" spans="1:10">
      <c r="A1714" s="4">
        <v>45543</v>
      </c>
      <c r="B1714" s="32"/>
      <c r="C1714" s="32"/>
      <c r="D1714" s="33" t="s">
        <v>78</v>
      </c>
      <c r="E1714" s="33" t="s">
        <v>77</v>
      </c>
      <c r="F1714" s="33" t="s">
        <v>46</v>
      </c>
      <c r="G1714" s="33">
        <v>785216</v>
      </c>
      <c r="H1714" s="33" t="s">
        <v>76</v>
      </c>
      <c r="I1714" s="32">
        <v>785216</v>
      </c>
      <c r="J1714" s="32">
        <v>785216</v>
      </c>
    </row>
    <row r="1715" spans="1:10">
      <c r="A1715" s="4">
        <v>45544</v>
      </c>
      <c r="B1715" s="32"/>
      <c r="C1715" s="32"/>
      <c r="D1715" s="33">
        <v>5151966986</v>
      </c>
      <c r="E1715" s="33">
        <v>6026057</v>
      </c>
      <c r="F1715" s="33">
        <v>5157993043</v>
      </c>
      <c r="G1715" s="33">
        <v>265153974</v>
      </c>
      <c r="H1715" s="33" t="s">
        <v>50</v>
      </c>
      <c r="I1715" s="32">
        <v>265153974</v>
      </c>
      <c r="J1715" s="32">
        <v>5423147017</v>
      </c>
    </row>
    <row r="1716" spans="1:10">
      <c r="A1716" s="4">
        <v>45545</v>
      </c>
      <c r="B1716" s="32"/>
      <c r="C1716" s="32"/>
      <c r="D1716" s="33">
        <v>9053197432</v>
      </c>
      <c r="E1716" s="33"/>
      <c r="F1716" s="33">
        <v>9053197432</v>
      </c>
      <c r="G1716" s="33">
        <v>355716759</v>
      </c>
      <c r="H1716" s="33"/>
      <c r="I1716" s="32">
        <v>355716759</v>
      </c>
      <c r="J1716" s="32">
        <v>9408914191</v>
      </c>
    </row>
    <row r="1717" spans="1:10">
      <c r="A1717" s="4">
        <v>45546</v>
      </c>
      <c r="B1717" s="32"/>
      <c r="C1717" s="32"/>
      <c r="D1717" s="33">
        <v>8526112147</v>
      </c>
      <c r="E1717" s="33" t="s">
        <v>77</v>
      </c>
      <c r="F1717" s="33">
        <v>8526112147</v>
      </c>
      <c r="G1717" s="33">
        <v>509520703</v>
      </c>
      <c r="H1717" s="33" t="s">
        <v>76</v>
      </c>
      <c r="I1717" s="32">
        <v>509520703</v>
      </c>
      <c r="J1717" s="32">
        <v>9035632850</v>
      </c>
    </row>
    <row r="1718" spans="1:10">
      <c r="A1718" s="4">
        <v>45547</v>
      </c>
      <c r="B1718" s="32"/>
      <c r="C1718" s="32"/>
      <c r="D1718" s="33">
        <v>3486760616.4000001</v>
      </c>
      <c r="E1718" s="33" t="s">
        <v>77</v>
      </c>
      <c r="F1718" s="33">
        <v>3486760616.4000001</v>
      </c>
      <c r="G1718" s="33">
        <v>137261018</v>
      </c>
      <c r="H1718" s="33" t="s">
        <v>76</v>
      </c>
      <c r="I1718" s="32">
        <v>137261018</v>
      </c>
      <c r="J1718" s="32">
        <v>3624021634.4000001</v>
      </c>
    </row>
    <row r="1719" spans="1:10">
      <c r="A1719" s="4">
        <v>45548</v>
      </c>
      <c r="B1719" s="32"/>
      <c r="C1719" s="32"/>
      <c r="D1719" s="33">
        <v>3685486477.5999999</v>
      </c>
      <c r="E1719" s="33">
        <v>4949750</v>
      </c>
      <c r="F1719" s="33">
        <v>3690436227.5999999</v>
      </c>
      <c r="G1719" s="33">
        <v>83368857</v>
      </c>
      <c r="H1719" s="33">
        <v>100000000</v>
      </c>
      <c r="I1719" s="32">
        <v>183368857</v>
      </c>
      <c r="J1719" s="32">
        <v>3873805084.5999999</v>
      </c>
    </row>
    <row r="1720" spans="1:10">
      <c r="A1720" s="4">
        <v>45549</v>
      </c>
      <c r="B1720" s="32"/>
      <c r="C1720" s="32"/>
      <c r="D1720" s="33" t="s">
        <v>78</v>
      </c>
      <c r="E1720" s="33" t="s">
        <v>77</v>
      </c>
      <c r="F1720" s="33" t="s">
        <v>46</v>
      </c>
      <c r="G1720" s="33">
        <v>7947227</v>
      </c>
      <c r="H1720" s="33" t="s">
        <v>76</v>
      </c>
      <c r="I1720" s="32">
        <v>7947227</v>
      </c>
      <c r="J1720" s="32">
        <v>7947227</v>
      </c>
    </row>
    <row r="1721" spans="1:10">
      <c r="A1721" s="4">
        <v>45550</v>
      </c>
      <c r="B1721" s="32"/>
      <c r="C1721" s="32"/>
      <c r="D1721" s="33" t="s">
        <v>78</v>
      </c>
      <c r="E1721" s="33" t="s">
        <v>77</v>
      </c>
      <c r="F1721" s="33" t="s">
        <v>46</v>
      </c>
      <c r="G1721" s="33" t="s">
        <v>46</v>
      </c>
      <c r="H1721" s="33" t="s">
        <v>76</v>
      </c>
      <c r="I1721" s="32" t="s">
        <v>46</v>
      </c>
      <c r="J1721" s="32" t="s">
        <v>46</v>
      </c>
    </row>
    <row r="1722" spans="1:10">
      <c r="A1722" s="4">
        <v>45551</v>
      </c>
      <c r="B1722" s="32"/>
      <c r="C1722" s="32"/>
      <c r="D1722" s="33" t="s">
        <v>78</v>
      </c>
      <c r="E1722" s="33" t="s">
        <v>77</v>
      </c>
      <c r="F1722" s="33" t="s">
        <v>46</v>
      </c>
      <c r="G1722" s="33">
        <v>1069454</v>
      </c>
      <c r="H1722" s="33" t="s">
        <v>76</v>
      </c>
      <c r="I1722" s="32">
        <v>1069454</v>
      </c>
      <c r="J1722" s="32">
        <v>1069454</v>
      </c>
    </row>
    <row r="1723" spans="1:10">
      <c r="A1723" s="4">
        <v>45552</v>
      </c>
      <c r="B1723" s="32"/>
      <c r="C1723" s="32"/>
      <c r="D1723" s="33" t="s">
        <v>78</v>
      </c>
      <c r="E1723" s="33" t="s">
        <v>77</v>
      </c>
      <c r="F1723" s="33" t="s">
        <v>46</v>
      </c>
      <c r="G1723" s="33">
        <v>166809093</v>
      </c>
      <c r="H1723" s="33" t="s">
        <v>76</v>
      </c>
      <c r="I1723" s="32">
        <v>166809093</v>
      </c>
      <c r="J1723" s="32">
        <v>166809093</v>
      </c>
    </row>
    <row r="1724" spans="1:10">
      <c r="A1724" s="4">
        <v>45553</v>
      </c>
      <c r="B1724" s="32"/>
      <c r="C1724" s="32"/>
      <c r="D1724" s="33">
        <v>4794430934</v>
      </c>
      <c r="E1724" s="33" t="s">
        <v>77</v>
      </c>
      <c r="F1724" s="33">
        <v>4794430934</v>
      </c>
      <c r="G1724" s="33">
        <v>108266619</v>
      </c>
      <c r="H1724" s="33" t="s">
        <v>76</v>
      </c>
      <c r="I1724" s="32">
        <v>108266619</v>
      </c>
      <c r="J1724" s="32">
        <v>4902697553</v>
      </c>
    </row>
    <row r="1725" spans="1:10">
      <c r="A1725" s="4">
        <v>45554</v>
      </c>
      <c r="B1725" s="32"/>
      <c r="C1725" s="32"/>
      <c r="D1725" s="33">
        <v>6129572842.1999998</v>
      </c>
      <c r="E1725" s="33" t="s">
        <v>77</v>
      </c>
      <c r="F1725" s="33">
        <v>6129572842.1999998</v>
      </c>
      <c r="G1725" s="33">
        <v>476049148</v>
      </c>
      <c r="H1725" s="33" t="s">
        <v>76</v>
      </c>
      <c r="I1725" s="32">
        <v>476049148</v>
      </c>
      <c r="J1725" s="32">
        <v>6605621990.1999998</v>
      </c>
    </row>
    <row r="1726" spans="1:10">
      <c r="A1726" s="4">
        <v>45555</v>
      </c>
      <c r="B1726" s="32"/>
      <c r="C1726" s="32"/>
      <c r="D1726" s="33">
        <v>9290430261.0100002</v>
      </c>
      <c r="E1726" s="33" t="s">
        <v>77</v>
      </c>
      <c r="F1726" s="33">
        <v>9290430261.0100002</v>
      </c>
      <c r="G1726" s="33">
        <v>279445956</v>
      </c>
      <c r="H1726" s="33">
        <v>100000000</v>
      </c>
      <c r="I1726" s="32">
        <v>379445956</v>
      </c>
      <c r="J1726" s="32">
        <v>9669876217.0100002</v>
      </c>
    </row>
    <row r="1727" spans="1:10">
      <c r="A1727" s="4">
        <v>45556</v>
      </c>
      <c r="B1727" s="32"/>
      <c r="C1727" s="32"/>
      <c r="D1727" s="33" t="s">
        <v>78</v>
      </c>
      <c r="E1727" s="33" t="s">
        <v>77</v>
      </c>
      <c r="F1727" s="33" t="s">
        <v>46</v>
      </c>
      <c r="G1727" s="33">
        <v>1400</v>
      </c>
      <c r="H1727" s="33" t="s">
        <v>76</v>
      </c>
      <c r="I1727" s="32">
        <v>1400</v>
      </c>
      <c r="J1727" s="32">
        <v>1400</v>
      </c>
    </row>
    <row r="1728" spans="1:10">
      <c r="A1728" s="4">
        <v>45557</v>
      </c>
      <c r="B1728" s="32"/>
      <c r="C1728" s="32"/>
      <c r="D1728" s="33" t="s">
        <v>78</v>
      </c>
      <c r="E1728" s="33" t="s">
        <v>77</v>
      </c>
      <c r="F1728" s="33" t="s">
        <v>46</v>
      </c>
      <c r="G1728" s="33">
        <v>166789752</v>
      </c>
      <c r="H1728" s="33" t="s">
        <v>76</v>
      </c>
      <c r="I1728" s="32">
        <v>166789752</v>
      </c>
      <c r="J1728" s="32">
        <v>166789752</v>
      </c>
    </row>
    <row r="1729" spans="1:10">
      <c r="A1729" s="4">
        <v>45558</v>
      </c>
      <c r="B1729" s="32"/>
      <c r="C1729" s="32"/>
      <c r="D1729" s="33">
        <v>1645776695</v>
      </c>
      <c r="E1729" s="33" t="s">
        <v>77</v>
      </c>
      <c r="F1729" s="33">
        <v>1645776695</v>
      </c>
      <c r="G1729" s="33">
        <v>57227032</v>
      </c>
      <c r="H1729" s="33" t="s">
        <v>76</v>
      </c>
      <c r="I1729" s="32">
        <v>57227032</v>
      </c>
      <c r="J1729" s="32">
        <v>1703003727</v>
      </c>
    </row>
    <row r="1730" spans="1:10">
      <c r="A1730" s="4">
        <v>45559</v>
      </c>
      <c r="B1730" s="32"/>
      <c r="C1730" s="32"/>
      <c r="D1730" s="33">
        <v>9256322490.4500008</v>
      </c>
      <c r="E1730" s="33" t="s">
        <v>77</v>
      </c>
      <c r="F1730" s="33">
        <v>9256322490.4500008</v>
      </c>
      <c r="G1730" s="33">
        <v>385230605</v>
      </c>
      <c r="H1730" s="33" t="s">
        <v>76</v>
      </c>
      <c r="I1730" s="32">
        <v>385230605</v>
      </c>
      <c r="J1730" s="32">
        <v>9641553095.4500008</v>
      </c>
    </row>
    <row r="1731" spans="1:10">
      <c r="A1731" s="4">
        <v>45560</v>
      </c>
      <c r="B1731" s="32"/>
      <c r="C1731" s="32"/>
      <c r="D1731" s="33">
        <v>9085865025</v>
      </c>
      <c r="E1731" s="33" t="s">
        <v>77</v>
      </c>
      <c r="F1731" s="33">
        <v>9085865025</v>
      </c>
      <c r="G1731" s="33">
        <v>100770398</v>
      </c>
      <c r="H1731" s="33" t="s">
        <v>76</v>
      </c>
      <c r="I1731" s="32">
        <v>100770398</v>
      </c>
      <c r="J1731" s="32">
        <v>9186635423</v>
      </c>
    </row>
    <row r="1732" spans="1:10">
      <c r="A1732" s="4">
        <v>45561</v>
      </c>
      <c r="B1732" s="32"/>
      <c r="C1732" s="32"/>
      <c r="D1732" s="33">
        <v>2159363980.29</v>
      </c>
      <c r="E1732" s="33" t="s">
        <v>77</v>
      </c>
      <c r="F1732" s="33">
        <v>2159363980.29</v>
      </c>
      <c r="G1732" s="33">
        <v>495808868</v>
      </c>
      <c r="H1732" s="33" t="s">
        <v>76</v>
      </c>
      <c r="I1732" s="32">
        <v>495808868</v>
      </c>
      <c r="J1732" s="32">
        <v>2655172848.29</v>
      </c>
    </row>
    <row r="1733" spans="1:10">
      <c r="A1733" s="4">
        <v>45562</v>
      </c>
      <c r="B1733" s="32"/>
      <c r="C1733" s="32"/>
      <c r="D1733" s="33">
        <v>5245201318</v>
      </c>
      <c r="E1733" s="33">
        <v>12608050</v>
      </c>
      <c r="F1733" s="33">
        <v>5257809368</v>
      </c>
      <c r="G1733" s="33">
        <v>198357607</v>
      </c>
      <c r="H1733" s="33" t="s">
        <v>76</v>
      </c>
      <c r="I1733" s="32">
        <v>198357607</v>
      </c>
      <c r="J1733" s="32">
        <v>5456166975</v>
      </c>
    </row>
    <row r="1734" spans="1:10" ht="30.75">
      <c r="A1734" s="4">
        <v>45563</v>
      </c>
      <c r="B1734" s="32"/>
      <c r="C1734" s="32"/>
      <c r="D1734" s="33" t="s">
        <v>82</v>
      </c>
      <c r="E1734" s="33" t="s">
        <v>79</v>
      </c>
      <c r="F1734" s="33" t="s">
        <v>82</v>
      </c>
      <c r="G1734" s="33">
        <v>170880896</v>
      </c>
      <c r="H1734" s="33">
        <v>100000000</v>
      </c>
      <c r="I1734" s="32">
        <v>270880896</v>
      </c>
      <c r="J1734" s="32">
        <v>270880896</v>
      </c>
    </row>
    <row r="1735" spans="1:10">
      <c r="A1735" s="4">
        <v>45564</v>
      </c>
      <c r="B1735" s="32"/>
      <c r="C1735" s="32"/>
      <c r="D1735" s="33" t="s">
        <v>78</v>
      </c>
      <c r="E1735" s="33" t="s">
        <v>77</v>
      </c>
      <c r="F1735" s="33" t="s">
        <v>46</v>
      </c>
      <c r="G1735" s="33">
        <v>8800</v>
      </c>
      <c r="H1735" s="33" t="s">
        <v>76</v>
      </c>
      <c r="I1735" s="32">
        <v>8800</v>
      </c>
      <c r="J1735" s="32">
        <v>8800</v>
      </c>
    </row>
    <row r="1736" spans="1:10">
      <c r="A1736" s="4">
        <v>45565</v>
      </c>
      <c r="B1736" s="32"/>
      <c r="C1736" s="32"/>
      <c r="D1736" s="33">
        <v>3921421405.8000002</v>
      </c>
      <c r="E1736" s="33" t="s">
        <v>77</v>
      </c>
      <c r="F1736" s="33">
        <v>3921421405.8000002</v>
      </c>
      <c r="G1736" s="33">
        <v>448050064</v>
      </c>
      <c r="H1736" s="33" t="s">
        <v>76</v>
      </c>
      <c r="I1736" s="32">
        <v>448050064</v>
      </c>
      <c r="J1736" s="32">
        <v>4369471469.8000002</v>
      </c>
    </row>
    <row r="1737" spans="1:10">
      <c r="A1737" s="4">
        <v>45566</v>
      </c>
      <c r="B1737" s="32"/>
      <c r="C1737" s="32"/>
      <c r="D1737" s="32">
        <v>4230697800.6799998</v>
      </c>
      <c r="E1737" s="33">
        <v>8800</v>
      </c>
      <c r="F1737" s="32">
        <v>4230706600.6799998</v>
      </c>
      <c r="G1737" s="33">
        <v>194761345</v>
      </c>
      <c r="H1737" s="33" t="s">
        <v>76</v>
      </c>
      <c r="I1737" s="32">
        <v>194761345</v>
      </c>
      <c r="J1737" s="32">
        <v>4425467945.6800003</v>
      </c>
    </row>
    <row r="1738" spans="1:10">
      <c r="A1738" s="4">
        <v>45567</v>
      </c>
      <c r="B1738" s="32"/>
      <c r="C1738" s="32"/>
      <c r="D1738" s="32">
        <v>4471279624</v>
      </c>
      <c r="E1738" s="33" t="s">
        <v>77</v>
      </c>
      <c r="F1738" s="32">
        <v>4471279624</v>
      </c>
      <c r="G1738" s="33">
        <v>211439247</v>
      </c>
      <c r="H1738" s="33" t="s">
        <v>76</v>
      </c>
      <c r="I1738" s="32">
        <v>211439247</v>
      </c>
      <c r="J1738" s="32">
        <v>4682718871</v>
      </c>
    </row>
    <row r="1739" spans="1:10">
      <c r="A1739" s="4">
        <v>45568</v>
      </c>
      <c r="B1739" s="32"/>
      <c r="C1739" s="32"/>
      <c r="D1739" s="32">
        <v>7147879966</v>
      </c>
      <c r="E1739" s="33" t="s">
        <v>77</v>
      </c>
      <c r="F1739" s="32">
        <v>7147879966</v>
      </c>
      <c r="G1739" s="33">
        <v>427058156</v>
      </c>
      <c r="H1739" s="33" t="s">
        <v>76</v>
      </c>
      <c r="I1739" s="32">
        <v>427058156</v>
      </c>
      <c r="J1739" s="32">
        <v>7574938122</v>
      </c>
    </row>
    <row r="1740" spans="1:10">
      <c r="A1740" s="4">
        <v>45569</v>
      </c>
      <c r="B1740" s="32"/>
      <c r="C1740" s="32"/>
      <c r="D1740" s="32">
        <v>4007978038.3800001</v>
      </c>
      <c r="E1740" s="33" t="s">
        <v>77</v>
      </c>
      <c r="F1740" s="32">
        <v>4007978038.3800001</v>
      </c>
      <c r="G1740" s="33">
        <v>347905145</v>
      </c>
      <c r="H1740" s="33">
        <v>8961137150</v>
      </c>
      <c r="I1740" s="32">
        <v>9309042295</v>
      </c>
      <c r="J1740" s="32">
        <v>13317020333.379999</v>
      </c>
    </row>
    <row r="1741" spans="1:10">
      <c r="A1741" s="4">
        <v>45570</v>
      </c>
      <c r="B1741" s="32"/>
      <c r="C1741" s="32"/>
      <c r="D1741" s="32" t="s">
        <v>78</v>
      </c>
      <c r="E1741" s="33" t="s">
        <v>77</v>
      </c>
      <c r="F1741" s="32" t="s">
        <v>46</v>
      </c>
      <c r="G1741" s="33">
        <v>10297450</v>
      </c>
      <c r="H1741" s="33" t="s">
        <v>76</v>
      </c>
      <c r="I1741" s="32">
        <v>10297450</v>
      </c>
      <c r="J1741" s="32">
        <v>10297450</v>
      </c>
    </row>
    <row r="1742" spans="1:10">
      <c r="A1742" s="4">
        <v>45571</v>
      </c>
      <c r="B1742" s="32"/>
      <c r="C1742" s="32"/>
      <c r="D1742" s="32" t="s">
        <v>78</v>
      </c>
      <c r="E1742" s="33" t="s">
        <v>77</v>
      </c>
      <c r="F1742" s="32" t="s">
        <v>46</v>
      </c>
      <c r="G1742" s="33">
        <v>1650</v>
      </c>
      <c r="H1742" s="33" t="s">
        <v>76</v>
      </c>
      <c r="I1742" s="32">
        <v>1650</v>
      </c>
      <c r="J1742" s="32">
        <v>1650</v>
      </c>
    </row>
    <row r="1743" spans="1:10">
      <c r="A1743" s="4">
        <v>45572</v>
      </c>
      <c r="B1743" s="32"/>
      <c r="C1743" s="32"/>
      <c r="D1743" s="32">
        <v>9380185257.2000008</v>
      </c>
      <c r="E1743" s="33">
        <v>2547350</v>
      </c>
      <c r="F1743" s="32">
        <v>9382732607.2000008</v>
      </c>
      <c r="G1743" s="33">
        <v>404039903</v>
      </c>
      <c r="H1743" s="33" t="s">
        <v>76</v>
      </c>
      <c r="I1743" s="32">
        <v>404039903</v>
      </c>
      <c r="J1743" s="32">
        <v>9786772510.2000008</v>
      </c>
    </row>
    <row r="1744" spans="1:10">
      <c r="A1744" s="4">
        <v>45573</v>
      </c>
      <c r="B1744" s="32"/>
      <c r="C1744" s="32"/>
      <c r="D1744" s="32">
        <v>4184935983</v>
      </c>
      <c r="E1744" s="33" t="s">
        <v>77</v>
      </c>
      <c r="F1744" s="32">
        <v>4184935983</v>
      </c>
      <c r="G1744" s="33">
        <v>371846553</v>
      </c>
      <c r="H1744" s="33" t="s">
        <v>76</v>
      </c>
      <c r="I1744" s="32">
        <v>371846553</v>
      </c>
      <c r="J1744" s="32">
        <v>4556782536</v>
      </c>
    </row>
    <row r="1745" spans="1:10">
      <c r="A1745" s="4">
        <v>45574</v>
      </c>
      <c r="B1745" s="32"/>
      <c r="C1745" s="32"/>
      <c r="D1745" s="32">
        <v>3310005399</v>
      </c>
      <c r="E1745" s="33" t="s">
        <v>79</v>
      </c>
      <c r="F1745" s="32">
        <v>3310005399</v>
      </c>
      <c r="G1745" s="33">
        <v>158361656</v>
      </c>
      <c r="H1745" s="33" t="s">
        <v>50</v>
      </c>
      <c r="I1745" s="32">
        <v>158361656</v>
      </c>
      <c r="J1745" s="32">
        <v>3468367055</v>
      </c>
    </row>
    <row r="1746" spans="1:10">
      <c r="A1746" s="4">
        <v>45575</v>
      </c>
      <c r="B1746" s="32"/>
      <c r="C1746" s="32"/>
      <c r="D1746" s="32">
        <v>2955674241</v>
      </c>
      <c r="E1746" s="33" t="s">
        <v>77</v>
      </c>
      <c r="F1746" s="32">
        <v>2955674241</v>
      </c>
      <c r="G1746" s="33">
        <v>187512943</v>
      </c>
      <c r="H1746" s="33" t="s">
        <v>76</v>
      </c>
      <c r="I1746" s="32">
        <v>187512943</v>
      </c>
      <c r="J1746" s="32">
        <v>3143187184</v>
      </c>
    </row>
    <row r="1747" spans="1:10">
      <c r="A1747" s="4">
        <v>45576</v>
      </c>
      <c r="B1747" s="32"/>
      <c r="C1747" s="32"/>
      <c r="D1747" s="32">
        <v>2658053264</v>
      </c>
      <c r="E1747" s="33" t="s">
        <v>77</v>
      </c>
      <c r="F1747" s="32">
        <v>2658053264</v>
      </c>
      <c r="G1747" s="33">
        <v>284482583</v>
      </c>
      <c r="H1747" s="33">
        <v>100000000</v>
      </c>
      <c r="I1747" s="32">
        <v>384482583</v>
      </c>
      <c r="J1747" s="32">
        <v>3042535847</v>
      </c>
    </row>
    <row r="1748" spans="1:10">
      <c r="A1748" s="4">
        <v>45577</v>
      </c>
      <c r="B1748" s="32"/>
      <c r="C1748" s="32"/>
      <c r="D1748" s="32" t="s">
        <v>78</v>
      </c>
      <c r="E1748" s="33" t="s">
        <v>77</v>
      </c>
      <c r="F1748" s="32" t="s">
        <v>46</v>
      </c>
      <c r="G1748" s="33">
        <v>4687250</v>
      </c>
      <c r="H1748" s="33" t="s">
        <v>76</v>
      </c>
      <c r="I1748" s="32">
        <v>4687250</v>
      </c>
      <c r="J1748" s="32">
        <v>4687250</v>
      </c>
    </row>
    <row r="1749" spans="1:10">
      <c r="A1749" s="4">
        <v>45578</v>
      </c>
      <c r="B1749" s="32"/>
      <c r="C1749" s="32"/>
      <c r="D1749" s="32" t="s">
        <v>78</v>
      </c>
      <c r="E1749" s="33" t="s">
        <v>77</v>
      </c>
      <c r="F1749" s="32" t="s">
        <v>46</v>
      </c>
      <c r="G1749" s="33" t="s">
        <v>46</v>
      </c>
      <c r="H1749" s="33"/>
      <c r="I1749" s="32" t="s">
        <v>46</v>
      </c>
      <c r="J1749" s="32" t="s">
        <v>46</v>
      </c>
    </row>
    <row r="1750" spans="1:10">
      <c r="A1750" s="4">
        <v>45579</v>
      </c>
      <c r="B1750" s="32"/>
      <c r="C1750" s="32"/>
      <c r="D1750" s="32">
        <v>7262867994</v>
      </c>
      <c r="E1750" s="33" t="s">
        <v>77</v>
      </c>
      <c r="F1750" s="32">
        <v>7262867994</v>
      </c>
      <c r="G1750" s="33">
        <v>104526568</v>
      </c>
      <c r="H1750" s="33" t="s">
        <v>76</v>
      </c>
      <c r="I1750" s="32">
        <v>104526568</v>
      </c>
      <c r="J1750" s="32">
        <v>7367394562</v>
      </c>
    </row>
    <row r="1751" spans="1:10">
      <c r="A1751" s="4">
        <v>45580</v>
      </c>
      <c r="B1751" s="32"/>
      <c r="C1751" s="32"/>
      <c r="D1751" s="32">
        <v>7540974682.0699997</v>
      </c>
      <c r="E1751" s="33">
        <v>986625</v>
      </c>
      <c r="F1751" s="32">
        <v>7541961307.0699997</v>
      </c>
      <c r="G1751" s="33">
        <v>531436000</v>
      </c>
      <c r="H1751" s="33"/>
      <c r="I1751" s="32">
        <v>531436000</v>
      </c>
      <c r="J1751" s="32">
        <v>8073397307.0699997</v>
      </c>
    </row>
    <row r="1752" spans="1:10">
      <c r="A1752" s="4">
        <v>45581</v>
      </c>
      <c r="B1752" s="32"/>
      <c r="C1752" s="32"/>
      <c r="D1752" s="32">
        <v>4444811524</v>
      </c>
      <c r="E1752" s="33"/>
      <c r="F1752" s="32">
        <v>4444811524</v>
      </c>
      <c r="G1752" s="33">
        <v>222758204</v>
      </c>
      <c r="H1752" s="33"/>
      <c r="I1752" s="32">
        <v>222758204</v>
      </c>
      <c r="J1752" s="32">
        <v>4667569728</v>
      </c>
    </row>
    <row r="1753" spans="1:10">
      <c r="A1753" s="4">
        <v>45582</v>
      </c>
      <c r="B1753" s="32"/>
      <c r="C1753" s="32"/>
      <c r="D1753" s="32"/>
      <c r="E1753" s="33"/>
      <c r="F1753" s="32" t="s">
        <v>46</v>
      </c>
      <c r="G1753" s="33">
        <v>4400</v>
      </c>
      <c r="H1753" s="33"/>
      <c r="I1753" s="32">
        <v>4400</v>
      </c>
      <c r="J1753" s="32">
        <v>4400</v>
      </c>
    </row>
    <row r="1754" spans="1:10">
      <c r="A1754" s="4">
        <v>45583</v>
      </c>
      <c r="B1754" s="32"/>
      <c r="C1754" s="32"/>
      <c r="D1754" s="32">
        <v>4186363183</v>
      </c>
      <c r="E1754" s="33">
        <v>1753337</v>
      </c>
      <c r="F1754" s="32">
        <v>4188116520</v>
      </c>
      <c r="G1754" s="33">
        <v>236340379</v>
      </c>
      <c r="H1754" s="33">
        <v>100000000</v>
      </c>
      <c r="I1754" s="32">
        <v>336340379</v>
      </c>
      <c r="J1754" s="32">
        <v>4524456899</v>
      </c>
    </row>
    <row r="1755" spans="1:10">
      <c r="A1755" s="4">
        <v>45584</v>
      </c>
      <c r="B1755" s="32"/>
      <c r="C1755" s="32"/>
      <c r="D1755" s="32"/>
      <c r="E1755" s="33"/>
      <c r="F1755" s="32" t="s">
        <v>46</v>
      </c>
      <c r="G1755" s="33">
        <v>172430693</v>
      </c>
      <c r="H1755" s="33" t="s">
        <v>76</v>
      </c>
      <c r="I1755" s="32">
        <v>172430693</v>
      </c>
      <c r="J1755" s="32">
        <v>172430693</v>
      </c>
    </row>
    <row r="1756" spans="1:10">
      <c r="A1756" s="4">
        <v>45585</v>
      </c>
      <c r="B1756" s="32"/>
      <c r="C1756" s="32"/>
      <c r="D1756" s="32"/>
      <c r="E1756" s="33"/>
      <c r="F1756" s="32" t="s">
        <v>46</v>
      </c>
      <c r="G1756" s="33">
        <v>14300</v>
      </c>
      <c r="H1756" s="33" t="s">
        <v>76</v>
      </c>
      <c r="I1756" s="32">
        <v>14300</v>
      </c>
      <c r="J1756" s="32">
        <v>14300</v>
      </c>
    </row>
    <row r="1757" spans="1:10">
      <c r="A1757" s="4">
        <v>45586</v>
      </c>
      <c r="B1757" s="32"/>
      <c r="C1757" s="32"/>
      <c r="D1757" s="32">
        <v>9694195311.6499996</v>
      </c>
      <c r="E1757" s="33" t="s">
        <v>77</v>
      </c>
      <c r="F1757" s="32">
        <v>9694195311.6499996</v>
      </c>
      <c r="G1757" s="33">
        <v>224527170</v>
      </c>
      <c r="H1757" s="33" t="s">
        <v>76</v>
      </c>
      <c r="I1757" s="32">
        <v>224527170</v>
      </c>
      <c r="J1757" s="32">
        <v>9918722481.6499996</v>
      </c>
    </row>
    <row r="1758" spans="1:10">
      <c r="A1758" s="4">
        <v>45587</v>
      </c>
      <c r="B1758" s="32"/>
      <c r="C1758" s="32"/>
      <c r="D1758" s="32">
        <v>4248465589.5999999</v>
      </c>
      <c r="E1758" s="33" t="s">
        <v>77</v>
      </c>
      <c r="F1758" s="32">
        <v>4248465589.5999999</v>
      </c>
      <c r="G1758" s="33">
        <v>385613804</v>
      </c>
      <c r="H1758" s="33" t="s">
        <v>76</v>
      </c>
      <c r="I1758" s="32">
        <v>385613804</v>
      </c>
      <c r="J1758" s="32">
        <v>4634079393.6000004</v>
      </c>
    </row>
    <row r="1759" spans="1:10">
      <c r="A1759" s="4">
        <v>45588</v>
      </c>
      <c r="B1759" s="32"/>
      <c r="C1759" s="32"/>
      <c r="D1759" s="32">
        <v>8923999055.1800003</v>
      </c>
      <c r="E1759" s="33" t="s">
        <v>77</v>
      </c>
      <c r="F1759" s="32">
        <v>8923999055.1800003</v>
      </c>
      <c r="G1759" s="33">
        <v>313226104</v>
      </c>
      <c r="H1759" s="33"/>
      <c r="I1759" s="32">
        <v>313226104</v>
      </c>
      <c r="J1759" s="32">
        <v>9237225159.1800003</v>
      </c>
    </row>
    <row r="1760" spans="1:10">
      <c r="A1760" s="4">
        <v>45589</v>
      </c>
      <c r="B1760" s="32"/>
      <c r="C1760" s="32"/>
      <c r="D1760" s="32">
        <v>3304872617</v>
      </c>
      <c r="E1760" s="33">
        <v>679140</v>
      </c>
      <c r="F1760" s="32">
        <v>3305551757</v>
      </c>
      <c r="G1760" s="33">
        <v>88690134</v>
      </c>
      <c r="H1760" s="33" t="s">
        <v>76</v>
      </c>
      <c r="I1760" s="32">
        <v>88690134</v>
      </c>
      <c r="J1760" s="32">
        <v>3394241891</v>
      </c>
    </row>
    <row r="1761" spans="1:10">
      <c r="A1761" s="4">
        <v>45590</v>
      </c>
      <c r="B1761" s="32"/>
      <c r="C1761" s="32"/>
      <c r="D1761" s="32">
        <v>3095673816.75</v>
      </c>
      <c r="E1761" s="33">
        <v>408596342.48000002</v>
      </c>
      <c r="F1761" s="32">
        <v>3504270159.23</v>
      </c>
      <c r="G1761" s="33">
        <v>212586839</v>
      </c>
      <c r="H1761" s="33">
        <v>100000000</v>
      </c>
      <c r="I1761" s="32">
        <v>312586839</v>
      </c>
      <c r="J1761" s="32">
        <v>3816856998.23</v>
      </c>
    </row>
    <row r="1762" spans="1:10">
      <c r="A1762" s="4">
        <v>45591</v>
      </c>
      <c r="B1762" s="32"/>
      <c r="C1762" s="32"/>
      <c r="D1762" s="32" t="s">
        <v>78</v>
      </c>
      <c r="E1762" s="33" t="s">
        <v>77</v>
      </c>
      <c r="F1762" s="32" t="s">
        <v>46</v>
      </c>
      <c r="G1762" s="33">
        <v>154898598</v>
      </c>
      <c r="H1762" s="33" t="s">
        <v>76</v>
      </c>
      <c r="I1762" s="32">
        <v>154898598</v>
      </c>
      <c r="J1762" s="32">
        <v>154898598</v>
      </c>
    </row>
    <row r="1763" spans="1:10">
      <c r="A1763" s="4">
        <v>45592</v>
      </c>
      <c r="B1763" s="32"/>
      <c r="C1763" s="32"/>
      <c r="D1763" s="32" t="s">
        <v>78</v>
      </c>
      <c r="E1763" s="33" t="s">
        <v>77</v>
      </c>
      <c r="F1763" s="32" t="s">
        <v>46</v>
      </c>
      <c r="G1763" s="33">
        <v>23964200</v>
      </c>
      <c r="H1763" s="33" t="s">
        <v>76</v>
      </c>
      <c r="I1763" s="32">
        <v>23964200</v>
      </c>
      <c r="J1763" s="32">
        <v>23964200</v>
      </c>
    </row>
    <row r="1764" spans="1:10">
      <c r="A1764" s="4">
        <v>45593</v>
      </c>
      <c r="B1764" s="32"/>
      <c r="C1764" s="32"/>
      <c r="D1764" s="32">
        <v>4535919213</v>
      </c>
      <c r="E1764" s="33">
        <v>4675977.45</v>
      </c>
      <c r="F1764" s="32">
        <v>4540595190.4499998</v>
      </c>
      <c r="G1764" s="33">
        <v>287105334</v>
      </c>
      <c r="H1764" s="33" t="s">
        <v>50</v>
      </c>
      <c r="I1764" s="32">
        <v>287105334</v>
      </c>
      <c r="J1764" s="32">
        <v>4827700524.4499998</v>
      </c>
    </row>
    <row r="1765" spans="1:10">
      <c r="A1765" s="4">
        <v>45594</v>
      </c>
      <c r="B1765" s="32"/>
      <c r="C1765" s="32"/>
      <c r="D1765" s="32">
        <v>4855342772.3999996</v>
      </c>
      <c r="E1765" s="33">
        <v>4156195</v>
      </c>
      <c r="F1765" s="32">
        <v>4859498967.3999996</v>
      </c>
      <c r="G1765" s="33">
        <v>519999760</v>
      </c>
      <c r="H1765" s="33" t="s">
        <v>76</v>
      </c>
      <c r="I1765" s="32">
        <v>519999760</v>
      </c>
      <c r="J1765" s="32">
        <v>5379498727.3999996</v>
      </c>
    </row>
    <row r="1766" spans="1:10">
      <c r="A1766" s="4">
        <v>45595</v>
      </c>
      <c r="B1766" s="32"/>
      <c r="C1766" s="32"/>
      <c r="D1766" s="32">
        <v>9557115306</v>
      </c>
      <c r="E1766" s="33">
        <v>268768487.56999999</v>
      </c>
      <c r="F1766" s="32">
        <v>9825883793.5699997</v>
      </c>
      <c r="G1766" s="33">
        <v>357180602</v>
      </c>
      <c r="H1766" s="33"/>
      <c r="I1766" s="32">
        <v>357180602</v>
      </c>
      <c r="J1766" s="32">
        <v>10183064395.57</v>
      </c>
    </row>
    <row r="1767" spans="1:10">
      <c r="A1767" s="4">
        <v>45596</v>
      </c>
      <c r="B1767" s="32"/>
      <c r="C1767" s="32"/>
      <c r="D1767" s="32"/>
      <c r="E1767" s="33"/>
      <c r="F1767" s="32" t="s">
        <v>46</v>
      </c>
      <c r="G1767" s="33">
        <v>19872903</v>
      </c>
      <c r="H1767" s="33"/>
      <c r="I1767" s="32">
        <v>19872903</v>
      </c>
      <c r="J1767" s="32">
        <v>19872903</v>
      </c>
    </row>
    <row r="1768" spans="1:10">
      <c r="A1768" s="4">
        <v>45597</v>
      </c>
      <c r="B1768" s="32"/>
      <c r="C1768" s="32"/>
      <c r="D1768" s="33">
        <v>6618269010</v>
      </c>
      <c r="E1768" s="33">
        <v>333390502.42000002</v>
      </c>
      <c r="F1768" s="33">
        <v>6951659512.4200001</v>
      </c>
      <c r="G1768" s="33">
        <v>188235258</v>
      </c>
      <c r="H1768" s="33">
        <v>100000000</v>
      </c>
      <c r="I1768" s="32">
        <v>288235258</v>
      </c>
      <c r="J1768" s="32">
        <v>7239894770.4200001</v>
      </c>
    </row>
    <row r="1769" spans="1:10">
      <c r="A1769" s="4">
        <v>45598</v>
      </c>
      <c r="B1769" s="32"/>
      <c r="C1769" s="32"/>
      <c r="D1769" s="33" t="s">
        <v>78</v>
      </c>
      <c r="E1769" s="33" t="s">
        <v>77</v>
      </c>
      <c r="F1769" s="33" t="s">
        <v>46</v>
      </c>
      <c r="G1769" s="33">
        <v>1100970</v>
      </c>
      <c r="H1769" s="33" t="s">
        <v>76</v>
      </c>
      <c r="I1769" s="32">
        <v>1100970</v>
      </c>
      <c r="J1769" s="32">
        <v>1100970</v>
      </c>
    </row>
    <row r="1770" spans="1:10">
      <c r="A1770" s="4">
        <v>45599</v>
      </c>
      <c r="B1770" s="32"/>
      <c r="C1770" s="32"/>
      <c r="D1770" s="33"/>
      <c r="E1770" s="33"/>
      <c r="F1770" s="33" t="s">
        <v>46</v>
      </c>
      <c r="G1770" s="33">
        <v>2750</v>
      </c>
      <c r="H1770" s="33"/>
      <c r="I1770" s="32">
        <v>2750</v>
      </c>
      <c r="J1770" s="32">
        <v>2750</v>
      </c>
    </row>
    <row r="1771" spans="1:10">
      <c r="A1771" s="4">
        <v>45600</v>
      </c>
      <c r="B1771" s="32"/>
      <c r="C1771" s="32"/>
      <c r="D1771" s="33">
        <v>4878481155</v>
      </c>
      <c r="E1771" s="33"/>
      <c r="F1771" s="33">
        <v>4878481155</v>
      </c>
      <c r="G1771" s="33">
        <v>382643269</v>
      </c>
      <c r="H1771" s="33"/>
      <c r="I1771" s="32">
        <v>382643269</v>
      </c>
      <c r="J1771" s="32">
        <v>5261124424</v>
      </c>
    </row>
    <row r="1772" spans="1:10">
      <c r="A1772" s="4">
        <v>45601</v>
      </c>
      <c r="B1772" s="32"/>
      <c r="C1772" s="32"/>
      <c r="D1772" s="33">
        <v>3941993007.1999998</v>
      </c>
      <c r="E1772" s="33">
        <v>78979</v>
      </c>
      <c r="F1772" s="33">
        <v>3942071986.1999998</v>
      </c>
      <c r="G1772" s="33">
        <v>215945448</v>
      </c>
      <c r="H1772" s="33" t="s">
        <v>76</v>
      </c>
      <c r="I1772" s="32">
        <v>215945448</v>
      </c>
      <c r="J1772" s="32">
        <v>4158017434.1999998</v>
      </c>
    </row>
    <row r="1773" spans="1:10">
      <c r="A1773" s="4">
        <v>45602</v>
      </c>
      <c r="B1773" s="32"/>
      <c r="C1773" s="32"/>
      <c r="D1773" s="33">
        <v>3851377757</v>
      </c>
      <c r="E1773" s="33" t="s">
        <v>77</v>
      </c>
      <c r="F1773" s="33">
        <v>3851377757</v>
      </c>
      <c r="G1773" s="33">
        <v>322398708</v>
      </c>
      <c r="H1773" s="33">
        <v>8725864900</v>
      </c>
      <c r="I1773" s="32">
        <v>9048263608</v>
      </c>
      <c r="J1773" s="32">
        <v>12899641365</v>
      </c>
    </row>
    <row r="1774" spans="1:10">
      <c r="A1774" s="4">
        <v>45603</v>
      </c>
      <c r="B1774" s="32"/>
      <c r="C1774" s="32"/>
      <c r="D1774" s="33">
        <v>5402082798</v>
      </c>
      <c r="E1774" s="33">
        <v>14801.6</v>
      </c>
      <c r="F1774" s="33">
        <v>5402097599.6000004</v>
      </c>
      <c r="G1774" s="33">
        <v>115599414</v>
      </c>
      <c r="H1774" s="33" t="s">
        <v>76</v>
      </c>
      <c r="I1774" s="32">
        <v>115599414</v>
      </c>
      <c r="J1774" s="32">
        <v>5517697013.6000004</v>
      </c>
    </row>
    <row r="1775" spans="1:10">
      <c r="A1775" s="4">
        <v>45604</v>
      </c>
      <c r="B1775" s="32"/>
      <c r="C1775" s="32"/>
      <c r="D1775" s="33">
        <v>8736850163.75</v>
      </c>
      <c r="E1775" s="33" t="s">
        <v>77</v>
      </c>
      <c r="F1775" s="33">
        <v>8736850163.75</v>
      </c>
      <c r="G1775" s="33">
        <v>212004452</v>
      </c>
      <c r="H1775" s="33" t="s">
        <v>76</v>
      </c>
      <c r="I1775" s="32">
        <v>212004452</v>
      </c>
      <c r="J1775" s="32">
        <v>8948854615.75</v>
      </c>
    </row>
    <row r="1776" spans="1:10" ht="30.75">
      <c r="A1776" s="4">
        <v>45605</v>
      </c>
      <c r="B1776" s="32"/>
      <c r="C1776" s="32"/>
      <c r="D1776" s="33" t="s">
        <v>82</v>
      </c>
      <c r="E1776" s="33" t="s">
        <v>79</v>
      </c>
      <c r="F1776" s="33" t="s">
        <v>46</v>
      </c>
      <c r="G1776" s="33">
        <v>207042355</v>
      </c>
      <c r="H1776" s="33" t="s">
        <v>50</v>
      </c>
      <c r="I1776" s="32">
        <v>207042355</v>
      </c>
      <c r="J1776" s="32">
        <v>207042355</v>
      </c>
    </row>
    <row r="1777" spans="1:10">
      <c r="A1777" s="4">
        <v>45606</v>
      </c>
      <c r="B1777" s="32"/>
      <c r="C1777" s="32"/>
      <c r="D1777" s="33" t="s">
        <v>78</v>
      </c>
      <c r="E1777" s="33" t="s">
        <v>77</v>
      </c>
      <c r="F1777" s="33" t="s">
        <v>46</v>
      </c>
      <c r="G1777" s="33">
        <v>1523305</v>
      </c>
      <c r="H1777" s="33" t="s">
        <v>76</v>
      </c>
      <c r="I1777" s="32">
        <v>1523305</v>
      </c>
      <c r="J1777" s="32">
        <v>1523305</v>
      </c>
    </row>
    <row r="1778" spans="1:10">
      <c r="A1778" s="4">
        <v>45607</v>
      </c>
      <c r="B1778" s="32"/>
      <c r="C1778" s="32"/>
      <c r="D1778" s="33">
        <v>4076722190.1500001</v>
      </c>
      <c r="E1778" s="33" t="s">
        <v>77</v>
      </c>
      <c r="F1778" s="33">
        <v>4076722190.1500001</v>
      </c>
      <c r="G1778" s="33">
        <v>258499082</v>
      </c>
      <c r="H1778" s="33" t="s">
        <v>76</v>
      </c>
      <c r="I1778" s="32">
        <v>258499082</v>
      </c>
      <c r="J1778" s="32">
        <v>4335221272.1499996</v>
      </c>
    </row>
    <row r="1779" spans="1:10">
      <c r="A1779" s="4">
        <v>45608</v>
      </c>
      <c r="B1779" s="32"/>
      <c r="C1779" s="32"/>
      <c r="D1779" s="33">
        <v>4103543403</v>
      </c>
      <c r="E1779" s="33"/>
      <c r="F1779" s="33">
        <v>4103543403</v>
      </c>
      <c r="G1779" s="33">
        <v>220899039</v>
      </c>
      <c r="H1779" s="33"/>
      <c r="I1779" s="32">
        <v>220899039</v>
      </c>
      <c r="J1779" s="32">
        <v>4324442442</v>
      </c>
    </row>
    <row r="1780" spans="1:10">
      <c r="A1780" s="4">
        <v>45609</v>
      </c>
      <c r="B1780" s="32"/>
      <c r="C1780" s="32"/>
      <c r="D1780" s="33">
        <v>3525508982</v>
      </c>
      <c r="E1780" s="33">
        <v>1000000</v>
      </c>
      <c r="F1780" s="33">
        <v>3526508982</v>
      </c>
      <c r="G1780" s="33">
        <v>124278610</v>
      </c>
      <c r="H1780" s="33" t="s">
        <v>76</v>
      </c>
      <c r="I1780" s="32">
        <v>124278610</v>
      </c>
      <c r="J1780" s="32">
        <v>3650787592</v>
      </c>
    </row>
    <row r="1781" spans="1:10">
      <c r="A1781" s="4">
        <v>45610</v>
      </c>
      <c r="B1781" s="32"/>
      <c r="C1781" s="32"/>
      <c r="D1781" s="33">
        <v>837687784</v>
      </c>
      <c r="E1781" s="33">
        <v>2479323</v>
      </c>
      <c r="F1781" s="33">
        <v>840167107</v>
      </c>
      <c r="G1781" s="33">
        <v>31868609</v>
      </c>
      <c r="H1781" s="33">
        <v>100000000</v>
      </c>
      <c r="I1781" s="32">
        <v>131868609</v>
      </c>
      <c r="J1781" s="32">
        <v>972035716</v>
      </c>
    </row>
    <row r="1782" spans="1:10">
      <c r="A1782" s="4">
        <v>45611</v>
      </c>
      <c r="B1782" s="32"/>
      <c r="C1782" s="32"/>
      <c r="D1782" s="33" t="s">
        <v>78</v>
      </c>
      <c r="E1782" s="33" t="s">
        <v>77</v>
      </c>
      <c r="F1782" s="33" t="s">
        <v>46</v>
      </c>
      <c r="G1782" s="33" t="s">
        <v>46</v>
      </c>
      <c r="H1782" s="33" t="s">
        <v>76</v>
      </c>
      <c r="I1782" s="32" t="s">
        <v>46</v>
      </c>
      <c r="J1782" s="32" t="s">
        <v>46</v>
      </c>
    </row>
    <row r="1783" spans="1:10">
      <c r="A1783" s="4">
        <v>45612</v>
      </c>
      <c r="B1783" s="32"/>
      <c r="C1783" s="32"/>
      <c r="D1783" s="33" t="s">
        <v>78</v>
      </c>
      <c r="E1783" s="33" t="s">
        <v>77</v>
      </c>
      <c r="F1783" s="33" t="s">
        <v>46</v>
      </c>
      <c r="G1783" s="33">
        <v>181907471</v>
      </c>
      <c r="H1783" s="33" t="s">
        <v>76</v>
      </c>
      <c r="I1783" s="32">
        <v>181907471</v>
      </c>
      <c r="J1783" s="32">
        <v>181907471</v>
      </c>
    </row>
    <row r="1784" spans="1:10">
      <c r="A1784" s="4">
        <v>45613</v>
      </c>
      <c r="B1784" s="32"/>
      <c r="C1784" s="32"/>
      <c r="D1784" s="33" t="s">
        <v>78</v>
      </c>
      <c r="E1784" s="33" t="s">
        <v>77</v>
      </c>
      <c r="F1784" s="33" t="s">
        <v>46</v>
      </c>
      <c r="G1784" s="33">
        <v>1516691</v>
      </c>
      <c r="H1784" s="33" t="s">
        <v>76</v>
      </c>
      <c r="I1784" s="32">
        <v>1516691</v>
      </c>
      <c r="J1784" s="32">
        <v>1516691</v>
      </c>
    </row>
    <row r="1785" spans="1:10">
      <c r="A1785" s="4">
        <v>45614</v>
      </c>
      <c r="B1785" s="32"/>
      <c r="C1785" s="32"/>
      <c r="D1785" s="33">
        <v>10602729123.5</v>
      </c>
      <c r="E1785" s="33">
        <v>138686.32999999999</v>
      </c>
      <c r="F1785" s="33">
        <v>10602867809.83</v>
      </c>
      <c r="G1785" s="33">
        <v>436507065</v>
      </c>
      <c r="H1785" s="33" t="s">
        <v>76</v>
      </c>
      <c r="I1785" s="32">
        <v>436507065</v>
      </c>
      <c r="J1785" s="32">
        <v>11039374874.83</v>
      </c>
    </row>
    <row r="1786" spans="1:10">
      <c r="A1786" s="4">
        <v>45615</v>
      </c>
      <c r="B1786" s="32"/>
      <c r="C1786" s="32"/>
      <c r="D1786" s="33">
        <v>6099034456.1000004</v>
      </c>
      <c r="E1786" s="33" t="s">
        <v>77</v>
      </c>
      <c r="F1786" s="33">
        <v>6099034456.1000004</v>
      </c>
      <c r="G1786" s="33">
        <v>420230466</v>
      </c>
      <c r="H1786" s="33" t="s">
        <v>76</v>
      </c>
      <c r="I1786" s="32">
        <v>420230466</v>
      </c>
      <c r="J1786" s="32">
        <v>6519264922.1000004</v>
      </c>
    </row>
    <row r="1787" spans="1:10">
      <c r="A1787" s="4">
        <v>45616</v>
      </c>
      <c r="B1787" s="32"/>
      <c r="C1787" s="32"/>
      <c r="D1787" s="33">
        <v>4625400608</v>
      </c>
      <c r="E1787" s="33" t="s">
        <v>77</v>
      </c>
      <c r="F1787" s="33">
        <v>4625400608</v>
      </c>
      <c r="G1787" s="33">
        <v>387550923</v>
      </c>
      <c r="H1787" s="33" t="s">
        <v>76</v>
      </c>
      <c r="I1787" s="32">
        <v>387550923</v>
      </c>
      <c r="J1787" s="32">
        <v>5012951531</v>
      </c>
    </row>
    <row r="1788" spans="1:10">
      <c r="A1788" s="4">
        <v>45617</v>
      </c>
      <c r="B1788" s="32"/>
      <c r="C1788" s="32"/>
      <c r="D1788" s="33">
        <v>3141204664.2399998</v>
      </c>
      <c r="E1788" s="33" t="s">
        <v>77</v>
      </c>
      <c r="F1788" s="33">
        <v>3141204664.2399998</v>
      </c>
      <c r="G1788" s="33">
        <v>124307970</v>
      </c>
      <c r="H1788" s="33" t="s">
        <v>76</v>
      </c>
      <c r="I1788" s="32">
        <v>124307970</v>
      </c>
      <c r="J1788" s="32">
        <v>3265512634.2399998</v>
      </c>
    </row>
    <row r="1789" spans="1:10">
      <c r="A1789" s="4">
        <v>45618</v>
      </c>
      <c r="B1789" s="32"/>
      <c r="C1789" s="32"/>
      <c r="D1789" s="33">
        <v>7841390154</v>
      </c>
      <c r="E1789" s="33" t="s">
        <v>77</v>
      </c>
      <c r="F1789" s="33">
        <v>7841390154</v>
      </c>
      <c r="G1789" s="33">
        <v>322712314</v>
      </c>
      <c r="H1789" s="33">
        <v>100000000</v>
      </c>
      <c r="I1789" s="32">
        <v>422712314</v>
      </c>
      <c r="J1789" s="32">
        <v>8264102468</v>
      </c>
    </row>
    <row r="1790" spans="1:10">
      <c r="A1790" s="4">
        <v>45619</v>
      </c>
      <c r="B1790" s="32"/>
      <c r="C1790" s="32"/>
      <c r="D1790" s="33" t="s">
        <v>78</v>
      </c>
      <c r="E1790" s="33" t="s">
        <v>77</v>
      </c>
      <c r="F1790" s="33" t="s">
        <v>46</v>
      </c>
      <c r="G1790" s="33">
        <v>11895269</v>
      </c>
      <c r="H1790" s="33" t="s">
        <v>76</v>
      </c>
      <c r="I1790" s="32">
        <v>11895269</v>
      </c>
      <c r="J1790" s="32">
        <v>11895269</v>
      </c>
    </row>
    <row r="1791" spans="1:10">
      <c r="A1791" s="4">
        <v>45620</v>
      </c>
      <c r="B1791" s="32"/>
      <c r="C1791" s="32"/>
      <c r="D1791" s="33" t="s">
        <v>78</v>
      </c>
      <c r="E1791" s="33" t="s">
        <v>77</v>
      </c>
      <c r="F1791" s="33" t="s">
        <v>46</v>
      </c>
      <c r="G1791" s="33">
        <v>4400</v>
      </c>
      <c r="H1791" s="33" t="s">
        <v>76</v>
      </c>
      <c r="I1791" s="32">
        <v>4400</v>
      </c>
      <c r="J1791" s="32">
        <v>4400</v>
      </c>
    </row>
    <row r="1792" spans="1:10">
      <c r="A1792" s="4">
        <v>45621</v>
      </c>
      <c r="B1792" s="32"/>
      <c r="C1792" s="32"/>
      <c r="D1792" s="33">
        <v>5067462808</v>
      </c>
      <c r="E1792" s="33" t="s">
        <v>77</v>
      </c>
      <c r="F1792" s="33">
        <v>5067462808</v>
      </c>
      <c r="G1792" s="33">
        <v>254761417</v>
      </c>
      <c r="H1792" s="33" t="s">
        <v>76</v>
      </c>
      <c r="I1792" s="32">
        <v>254761417</v>
      </c>
      <c r="J1792" s="32">
        <v>5322224225</v>
      </c>
    </row>
    <row r="1793" spans="1:10">
      <c r="A1793" s="4">
        <v>45622</v>
      </c>
      <c r="B1793" s="32"/>
      <c r="C1793" s="32"/>
      <c r="D1793" s="33">
        <v>2993936290.96</v>
      </c>
      <c r="E1793" s="33" t="s">
        <v>77</v>
      </c>
      <c r="F1793" s="33">
        <v>2993936290.96</v>
      </c>
      <c r="G1793" s="33">
        <v>379913911</v>
      </c>
      <c r="H1793" s="33" t="s">
        <v>76</v>
      </c>
      <c r="I1793" s="32">
        <v>379913911</v>
      </c>
      <c r="J1793" s="32">
        <v>3373850201.96</v>
      </c>
    </row>
    <row r="1794" spans="1:10">
      <c r="A1794" s="4">
        <v>45623</v>
      </c>
      <c r="B1794" s="32"/>
      <c r="C1794" s="32"/>
      <c r="D1794" s="33">
        <v>2841580011</v>
      </c>
      <c r="E1794" s="33">
        <v>796250</v>
      </c>
      <c r="F1794" s="33">
        <v>2842376261</v>
      </c>
      <c r="G1794" s="33">
        <v>407331163</v>
      </c>
      <c r="H1794" s="33" t="s">
        <v>76</v>
      </c>
      <c r="I1794" s="32">
        <v>407331163</v>
      </c>
      <c r="J1794" s="32">
        <v>3249707424</v>
      </c>
    </row>
    <row r="1795" spans="1:10">
      <c r="A1795" s="4">
        <v>45624</v>
      </c>
      <c r="B1795" s="32"/>
      <c r="C1795" s="32"/>
      <c r="D1795" s="33">
        <v>2339478763</v>
      </c>
      <c r="E1795" s="33" t="s">
        <v>79</v>
      </c>
      <c r="F1795" s="33">
        <v>2339478763</v>
      </c>
      <c r="G1795" s="33">
        <v>148896853</v>
      </c>
      <c r="H1795" s="33" t="s">
        <v>50</v>
      </c>
      <c r="I1795" s="32">
        <v>148896853</v>
      </c>
      <c r="J1795" s="32">
        <v>2488375616</v>
      </c>
    </row>
    <row r="1796" spans="1:10">
      <c r="A1796" s="4">
        <v>45625</v>
      </c>
      <c r="B1796" s="32"/>
      <c r="C1796" s="32"/>
      <c r="D1796" s="33">
        <v>7331488775.6199999</v>
      </c>
      <c r="E1796" s="33" t="s">
        <v>77</v>
      </c>
      <c r="F1796" s="33">
        <v>7331488775.6199999</v>
      </c>
      <c r="G1796" s="33">
        <v>226174032</v>
      </c>
      <c r="H1796" s="33">
        <v>100000000</v>
      </c>
      <c r="I1796" s="32">
        <v>326174032</v>
      </c>
      <c r="J1796" s="32">
        <v>7657662807.6199999</v>
      </c>
    </row>
    <row r="1797" spans="1:10">
      <c r="A1797" s="4">
        <v>45626</v>
      </c>
      <c r="B1797" s="32"/>
      <c r="C1797" s="32"/>
      <c r="D1797" s="33"/>
      <c r="E1797" s="33"/>
      <c r="F1797" s="33"/>
      <c r="G1797" s="33">
        <v>170845816</v>
      </c>
      <c r="H1797" s="33" t="s">
        <v>76</v>
      </c>
      <c r="I1797" s="32">
        <v>170845816</v>
      </c>
      <c r="J1797" s="32">
        <v>170845816</v>
      </c>
    </row>
    <row r="1798" spans="1:10">
      <c r="A1798" s="4">
        <v>45627</v>
      </c>
      <c r="B1798" s="32"/>
      <c r="C1798" s="32"/>
      <c r="D1798" s="33" t="s">
        <v>78</v>
      </c>
      <c r="E1798" s="33" t="s">
        <v>77</v>
      </c>
      <c r="F1798" s="32" t="s">
        <v>46</v>
      </c>
      <c r="G1798" s="33">
        <v>250</v>
      </c>
      <c r="H1798" s="33" t="s">
        <v>76</v>
      </c>
      <c r="I1798" s="32">
        <v>250</v>
      </c>
      <c r="J1798" s="32">
        <v>250</v>
      </c>
    </row>
    <row r="1799" spans="1:10">
      <c r="A1799" s="4">
        <v>45628</v>
      </c>
      <c r="B1799" s="32"/>
      <c r="C1799" s="32"/>
      <c r="D1799" s="33">
        <v>5595815319.1400003</v>
      </c>
      <c r="E1799" s="33" t="s">
        <v>77</v>
      </c>
      <c r="F1799" s="32">
        <v>5595815319.1400003</v>
      </c>
      <c r="G1799" s="33">
        <v>186984133</v>
      </c>
      <c r="H1799" s="33" t="s">
        <v>76</v>
      </c>
      <c r="I1799" s="32">
        <v>186984133</v>
      </c>
      <c r="J1799" s="32">
        <v>5782799452.1400003</v>
      </c>
    </row>
    <row r="1800" spans="1:10">
      <c r="A1800" s="4">
        <v>45629</v>
      </c>
      <c r="B1800" s="32"/>
      <c r="C1800" s="32"/>
      <c r="D1800" s="33">
        <v>7646334727</v>
      </c>
      <c r="E1800" s="33" t="s">
        <v>77</v>
      </c>
      <c r="F1800" s="32">
        <v>7646334727</v>
      </c>
      <c r="G1800" s="33">
        <v>254462264</v>
      </c>
      <c r="H1800" s="33"/>
      <c r="I1800" s="32">
        <v>254462264</v>
      </c>
      <c r="J1800" s="32">
        <v>7900796991</v>
      </c>
    </row>
    <row r="1801" spans="1:10">
      <c r="A1801" s="4">
        <v>45630</v>
      </c>
      <c r="B1801" s="32"/>
      <c r="C1801" s="32"/>
      <c r="D1801" s="33">
        <v>4127502336</v>
      </c>
      <c r="E1801" s="33" t="s">
        <v>77</v>
      </c>
      <c r="F1801" s="32">
        <v>4127502336</v>
      </c>
      <c r="G1801" s="33">
        <v>254700064</v>
      </c>
      <c r="H1801" s="33" t="s">
        <v>76</v>
      </c>
      <c r="I1801" s="32">
        <v>254700064</v>
      </c>
      <c r="J1801" s="32">
        <v>4382202400</v>
      </c>
    </row>
    <row r="1802" spans="1:10">
      <c r="A1802" s="4">
        <v>45631</v>
      </c>
      <c r="B1802" s="32"/>
      <c r="C1802" s="32"/>
      <c r="D1802" s="33">
        <v>2940157443</v>
      </c>
      <c r="E1802" s="33">
        <v>1100</v>
      </c>
      <c r="F1802" s="32">
        <v>2940158543</v>
      </c>
      <c r="G1802" s="33">
        <v>192330177</v>
      </c>
      <c r="H1802" s="33" t="s">
        <v>76</v>
      </c>
      <c r="I1802" s="32">
        <v>192330177</v>
      </c>
      <c r="J1802" s="32">
        <v>3132488720</v>
      </c>
    </row>
    <row r="1803" spans="1:10">
      <c r="A1803" s="4">
        <v>45632</v>
      </c>
      <c r="B1803" s="32"/>
      <c r="C1803" s="32"/>
      <c r="D1803" s="33">
        <v>2755737281</v>
      </c>
      <c r="E1803" s="33" t="s">
        <v>77</v>
      </c>
      <c r="F1803" s="32">
        <v>2755737281</v>
      </c>
      <c r="G1803" s="33">
        <v>233877061</v>
      </c>
      <c r="H1803" s="33">
        <v>8669745610</v>
      </c>
      <c r="I1803" s="32">
        <v>8903622671</v>
      </c>
      <c r="J1803" s="32">
        <v>11659359952</v>
      </c>
    </row>
    <row r="1804" spans="1:10">
      <c r="A1804" s="4">
        <v>45633</v>
      </c>
      <c r="B1804" s="32"/>
      <c r="C1804" s="32"/>
      <c r="D1804" s="33" t="s">
        <v>78</v>
      </c>
      <c r="E1804" s="33" t="s">
        <v>77</v>
      </c>
      <c r="F1804" s="32" t="s">
        <v>46</v>
      </c>
      <c r="G1804" s="33">
        <v>247550</v>
      </c>
      <c r="H1804" s="33" t="s">
        <v>76</v>
      </c>
      <c r="I1804" s="32">
        <v>247550</v>
      </c>
      <c r="J1804" s="32">
        <v>247550</v>
      </c>
    </row>
    <row r="1805" spans="1:10">
      <c r="A1805" s="4">
        <v>45634</v>
      </c>
      <c r="B1805" s="32"/>
      <c r="C1805" s="32"/>
      <c r="D1805" s="33" t="s">
        <v>78</v>
      </c>
      <c r="E1805" s="33" t="s">
        <v>77</v>
      </c>
      <c r="F1805" s="32" t="s">
        <v>46</v>
      </c>
      <c r="G1805" s="33">
        <v>5500</v>
      </c>
      <c r="H1805" s="33" t="s">
        <v>76</v>
      </c>
      <c r="I1805" s="32">
        <v>5500</v>
      </c>
      <c r="J1805" s="32">
        <v>5500</v>
      </c>
    </row>
    <row r="1806" spans="1:10">
      <c r="A1806" s="4">
        <v>45635</v>
      </c>
      <c r="B1806" s="32"/>
      <c r="C1806" s="32"/>
      <c r="D1806" s="33">
        <v>3484219890.6999998</v>
      </c>
      <c r="E1806" s="33" t="s">
        <v>79</v>
      </c>
      <c r="F1806" s="32">
        <v>3484219890.6999998</v>
      </c>
      <c r="G1806" s="33">
        <v>241388218</v>
      </c>
      <c r="H1806" s="33" t="s">
        <v>50</v>
      </c>
      <c r="I1806" s="32">
        <v>241388218</v>
      </c>
      <c r="J1806" s="32">
        <v>3725608108.6999998</v>
      </c>
    </row>
    <row r="1807" spans="1:10">
      <c r="A1807" s="4">
        <v>45636</v>
      </c>
      <c r="B1807" s="32"/>
      <c r="C1807" s="32"/>
      <c r="D1807" s="33">
        <v>9668941260</v>
      </c>
      <c r="E1807" s="33" t="s">
        <v>77</v>
      </c>
      <c r="F1807" s="32">
        <v>9668941260</v>
      </c>
      <c r="G1807" s="33">
        <v>295389480</v>
      </c>
      <c r="H1807" s="33" t="s">
        <v>76</v>
      </c>
      <c r="I1807" s="32">
        <v>295389480</v>
      </c>
      <c r="J1807" s="32">
        <v>9964330740</v>
      </c>
    </row>
    <row r="1808" spans="1:10">
      <c r="A1808" s="4">
        <v>45637</v>
      </c>
      <c r="B1808" s="32"/>
      <c r="C1808" s="32"/>
      <c r="D1808" s="33">
        <v>7569934310</v>
      </c>
      <c r="E1808" s="33" t="s">
        <v>77</v>
      </c>
      <c r="F1808" s="32">
        <v>7569934310</v>
      </c>
      <c r="G1808" s="33">
        <v>263941844</v>
      </c>
      <c r="H1808" s="33" t="s">
        <v>76</v>
      </c>
      <c r="I1808" s="32">
        <v>263941844</v>
      </c>
      <c r="J1808" s="32">
        <v>7833876154</v>
      </c>
    </row>
    <row r="1809" spans="1:10">
      <c r="A1809" s="4">
        <v>45638</v>
      </c>
      <c r="B1809" s="32"/>
      <c r="C1809" s="32"/>
      <c r="D1809" s="33">
        <v>4684757788.3000002</v>
      </c>
      <c r="E1809" s="33" t="s">
        <v>77</v>
      </c>
      <c r="F1809" s="32">
        <v>4684757788.3000002</v>
      </c>
      <c r="G1809" s="33">
        <v>408675713</v>
      </c>
      <c r="H1809" s="33" t="s">
        <v>76</v>
      </c>
      <c r="I1809" s="32">
        <v>408675713</v>
      </c>
      <c r="J1809" s="32">
        <v>5093433501.3000002</v>
      </c>
    </row>
    <row r="1810" spans="1:10">
      <c r="A1810" s="4">
        <v>45639</v>
      </c>
      <c r="B1810" s="32"/>
      <c r="C1810" s="32"/>
      <c r="D1810" s="33">
        <v>3661695531.8000002</v>
      </c>
      <c r="E1810" s="33">
        <v>541450</v>
      </c>
      <c r="F1810" s="32">
        <v>3662236981.8000002</v>
      </c>
      <c r="G1810" s="33">
        <v>125148502</v>
      </c>
      <c r="H1810" s="33">
        <v>100000000</v>
      </c>
      <c r="I1810" s="32">
        <v>225148502</v>
      </c>
      <c r="J1810" s="32">
        <v>3887385483.8000002</v>
      </c>
    </row>
    <row r="1811" spans="1:10">
      <c r="A1811" s="4">
        <v>45640</v>
      </c>
      <c r="B1811" s="32"/>
      <c r="C1811" s="32"/>
      <c r="D1811" s="33" t="s">
        <v>78</v>
      </c>
      <c r="E1811" s="33" t="s">
        <v>77</v>
      </c>
      <c r="F1811" s="32" t="s">
        <v>46</v>
      </c>
      <c r="G1811" s="33">
        <v>184459683</v>
      </c>
      <c r="H1811" s="33" t="s">
        <v>76</v>
      </c>
      <c r="I1811" s="32">
        <v>184459683</v>
      </c>
      <c r="J1811" s="32">
        <v>184459683</v>
      </c>
    </row>
    <row r="1812" spans="1:10">
      <c r="A1812" s="4">
        <v>45641</v>
      </c>
      <c r="B1812" s="32"/>
      <c r="C1812" s="32"/>
      <c r="D1812" s="33" t="s">
        <v>78</v>
      </c>
      <c r="E1812" s="33" t="s">
        <v>77</v>
      </c>
      <c r="F1812" s="32" t="s">
        <v>46</v>
      </c>
      <c r="G1812" s="33">
        <v>87772</v>
      </c>
      <c r="H1812" s="33" t="s">
        <v>76</v>
      </c>
      <c r="I1812" s="32">
        <v>87772</v>
      </c>
      <c r="J1812" s="32">
        <v>87772</v>
      </c>
    </row>
    <row r="1813" spans="1:10">
      <c r="A1813" s="4">
        <v>45642</v>
      </c>
      <c r="B1813" s="32"/>
      <c r="C1813" s="32"/>
      <c r="D1813" s="33">
        <v>4740367625</v>
      </c>
      <c r="E1813" s="33" t="s">
        <v>77</v>
      </c>
      <c r="F1813" s="32">
        <v>4740367625</v>
      </c>
      <c r="G1813" s="33">
        <v>247720010</v>
      </c>
      <c r="H1813" s="33" t="s">
        <v>76</v>
      </c>
      <c r="I1813" s="32">
        <v>247720010</v>
      </c>
      <c r="J1813" s="32">
        <v>4988087635</v>
      </c>
    </row>
    <row r="1814" spans="1:10">
      <c r="A1814" s="4">
        <v>45643</v>
      </c>
      <c r="B1814" s="32"/>
      <c r="C1814" s="32"/>
      <c r="D1814" s="33">
        <v>5426980327</v>
      </c>
      <c r="E1814" s="33" t="s">
        <v>77</v>
      </c>
      <c r="F1814" s="32">
        <v>5426980327</v>
      </c>
      <c r="G1814" s="33">
        <v>515773681</v>
      </c>
      <c r="H1814" s="33" t="s">
        <v>76</v>
      </c>
      <c r="I1814" s="32">
        <v>515773681</v>
      </c>
      <c r="J1814" s="32">
        <v>5942754008</v>
      </c>
    </row>
    <row r="1815" spans="1:10">
      <c r="A1815" s="4">
        <v>45644</v>
      </c>
      <c r="B1815" s="32"/>
      <c r="C1815" s="32"/>
      <c r="D1815" s="33">
        <v>4552460542</v>
      </c>
      <c r="E1815" s="33" t="s">
        <v>77</v>
      </c>
      <c r="F1815" s="32">
        <v>4552460542</v>
      </c>
      <c r="G1815" s="33">
        <v>380464941</v>
      </c>
      <c r="H1815" s="33" t="s">
        <v>76</v>
      </c>
      <c r="I1815" s="32">
        <v>380464941</v>
      </c>
      <c r="J1815" s="32">
        <v>4932925483</v>
      </c>
    </row>
    <row r="1816" spans="1:10">
      <c r="A1816" s="4">
        <v>45645</v>
      </c>
      <c r="B1816" s="32"/>
      <c r="C1816" s="32"/>
      <c r="D1816" s="33">
        <v>6007383294</v>
      </c>
      <c r="E1816" s="33" t="s">
        <v>77</v>
      </c>
      <c r="F1816" s="32">
        <v>6007383294</v>
      </c>
      <c r="G1816" s="33">
        <v>251705949</v>
      </c>
      <c r="H1816" s="33">
        <v>100000000</v>
      </c>
      <c r="I1816" s="32">
        <v>351705949</v>
      </c>
      <c r="J1816" s="32">
        <v>6359089243</v>
      </c>
    </row>
    <row r="1817" spans="1:10">
      <c r="A1817" s="4">
        <v>45646</v>
      </c>
      <c r="B1817" s="32"/>
      <c r="C1817" s="32"/>
      <c r="D1817" s="33">
        <v>9988032462.6000004</v>
      </c>
      <c r="E1817" s="33">
        <v>11150325.859999999</v>
      </c>
      <c r="F1817" s="32">
        <v>9999182788.4599991</v>
      </c>
      <c r="G1817" s="33">
        <v>303896011</v>
      </c>
      <c r="H1817" s="33" t="s">
        <v>76</v>
      </c>
      <c r="I1817" s="32">
        <v>303896011</v>
      </c>
      <c r="J1817" s="32">
        <v>10303078799.459999</v>
      </c>
    </row>
    <row r="1818" spans="1:10">
      <c r="A1818" s="4">
        <v>45647</v>
      </c>
      <c r="B1818" s="32"/>
      <c r="C1818" s="32"/>
      <c r="D1818" s="33" t="s">
        <v>78</v>
      </c>
      <c r="E1818" s="33" t="s">
        <v>77</v>
      </c>
      <c r="F1818" s="32" t="s">
        <v>46</v>
      </c>
      <c r="G1818" s="33">
        <v>22425800</v>
      </c>
      <c r="H1818" s="33" t="s">
        <v>76</v>
      </c>
      <c r="I1818" s="32">
        <v>22425800</v>
      </c>
      <c r="J1818" s="32">
        <v>22425800</v>
      </c>
    </row>
    <row r="1819" spans="1:10">
      <c r="A1819" s="4">
        <v>45648</v>
      </c>
      <c r="B1819" s="32"/>
      <c r="C1819" s="32"/>
      <c r="D1819" s="33" t="s">
        <v>78</v>
      </c>
      <c r="E1819" s="33" t="s">
        <v>77</v>
      </c>
      <c r="F1819" s="32" t="s">
        <v>46</v>
      </c>
      <c r="G1819" s="33">
        <v>2200</v>
      </c>
      <c r="H1819" s="33" t="s">
        <v>76</v>
      </c>
      <c r="I1819" s="32">
        <v>2200</v>
      </c>
      <c r="J1819" s="32">
        <v>2200</v>
      </c>
    </row>
    <row r="1820" spans="1:10">
      <c r="A1820" s="4">
        <v>45649</v>
      </c>
      <c r="B1820" s="32"/>
      <c r="C1820" s="32"/>
      <c r="D1820" s="33">
        <v>4557114662.7299995</v>
      </c>
      <c r="E1820" s="33">
        <v>17959352.809999999</v>
      </c>
      <c r="F1820" s="32">
        <v>4575074015.54</v>
      </c>
      <c r="G1820" s="33">
        <v>230517949</v>
      </c>
      <c r="H1820" s="33" t="s">
        <v>76</v>
      </c>
      <c r="I1820" s="32">
        <v>230517949</v>
      </c>
      <c r="J1820" s="32">
        <v>4805591964.54</v>
      </c>
    </row>
    <row r="1821" spans="1:10">
      <c r="A1821" s="4">
        <v>45650</v>
      </c>
      <c r="B1821" s="32"/>
      <c r="C1821" s="32"/>
      <c r="D1821" s="33">
        <v>4595426132.0500002</v>
      </c>
      <c r="E1821" s="33">
        <v>746163</v>
      </c>
      <c r="F1821" s="32">
        <v>4596172295.0500002</v>
      </c>
      <c r="G1821" s="33">
        <v>480135046</v>
      </c>
      <c r="H1821" s="33" t="s">
        <v>76</v>
      </c>
      <c r="I1821" s="32">
        <v>480135046</v>
      </c>
      <c r="J1821" s="32">
        <v>5076307341.0500002</v>
      </c>
    </row>
    <row r="1822" spans="1:10">
      <c r="A1822" s="4">
        <v>45651</v>
      </c>
      <c r="B1822" s="32"/>
      <c r="C1822" s="32"/>
      <c r="D1822" s="33" t="s">
        <v>78</v>
      </c>
      <c r="E1822" s="33" t="s">
        <v>77</v>
      </c>
      <c r="F1822" s="32" t="s">
        <v>46</v>
      </c>
      <c r="G1822" s="33">
        <v>3106077</v>
      </c>
      <c r="H1822" s="33" t="s">
        <v>76</v>
      </c>
      <c r="I1822" s="32">
        <v>3106077</v>
      </c>
      <c r="J1822" s="32">
        <v>3106077</v>
      </c>
    </row>
    <row r="1823" spans="1:10">
      <c r="A1823" s="4">
        <v>45652</v>
      </c>
      <c r="B1823" s="32"/>
      <c r="C1823" s="32"/>
      <c r="D1823" s="33">
        <v>3255601396</v>
      </c>
      <c r="E1823" s="33">
        <v>952000</v>
      </c>
      <c r="F1823" s="32">
        <v>3256553396</v>
      </c>
      <c r="G1823" s="33">
        <v>116527862</v>
      </c>
      <c r="H1823" s="33" t="s">
        <v>76</v>
      </c>
      <c r="I1823" s="32">
        <v>116527862</v>
      </c>
      <c r="J1823" s="32">
        <v>3373081258</v>
      </c>
    </row>
    <row r="1824" spans="1:10">
      <c r="A1824" s="4">
        <v>45653</v>
      </c>
      <c r="B1824" s="32"/>
      <c r="C1824" s="32"/>
      <c r="D1824" s="33">
        <v>7688908922.4700003</v>
      </c>
      <c r="E1824" s="33">
        <v>14759200</v>
      </c>
      <c r="F1824" s="32">
        <v>7703668122.4700003</v>
      </c>
      <c r="G1824" s="33">
        <v>377735854</v>
      </c>
      <c r="H1824" s="33">
        <v>100000000</v>
      </c>
      <c r="I1824" s="32">
        <v>477735854</v>
      </c>
      <c r="J1824" s="32">
        <v>8181403976.4700003</v>
      </c>
    </row>
    <row r="1825" spans="1:10" ht="30.75">
      <c r="A1825" s="4">
        <v>45654</v>
      </c>
      <c r="B1825" s="32"/>
      <c r="C1825" s="32"/>
      <c r="D1825" s="33" t="s">
        <v>82</v>
      </c>
      <c r="E1825" s="33" t="s">
        <v>79</v>
      </c>
      <c r="F1825" s="32" t="s">
        <v>46</v>
      </c>
      <c r="G1825" s="33">
        <v>6998613</v>
      </c>
      <c r="H1825" s="33" t="s">
        <v>50</v>
      </c>
      <c r="I1825" s="32">
        <v>6998613</v>
      </c>
      <c r="J1825" s="32">
        <v>6998613</v>
      </c>
    </row>
    <row r="1826" spans="1:10">
      <c r="A1826" s="4">
        <v>45655</v>
      </c>
      <c r="B1826" s="32"/>
      <c r="C1826" s="32"/>
      <c r="D1826" s="33" t="s">
        <v>78</v>
      </c>
      <c r="E1826" s="33" t="s">
        <v>77</v>
      </c>
      <c r="F1826" s="32" t="s">
        <v>46</v>
      </c>
      <c r="G1826" s="33">
        <v>1100</v>
      </c>
      <c r="H1826" s="33" t="s">
        <v>76</v>
      </c>
      <c r="I1826" s="32">
        <v>1100</v>
      </c>
      <c r="J1826" s="32">
        <v>1100</v>
      </c>
    </row>
    <row r="1827" spans="1:10">
      <c r="A1827" s="4">
        <v>45656</v>
      </c>
      <c r="B1827" s="32"/>
      <c r="C1827" s="32"/>
      <c r="D1827" s="33">
        <v>6941049576.6499996</v>
      </c>
      <c r="E1827" s="33" t="s">
        <v>77</v>
      </c>
      <c r="F1827" s="32">
        <v>6941049576.6499996</v>
      </c>
      <c r="G1827" s="33">
        <v>201505618</v>
      </c>
      <c r="H1827" s="33" t="s">
        <v>76</v>
      </c>
      <c r="I1827" s="32">
        <v>201505618</v>
      </c>
      <c r="J1827" s="32">
        <v>7142555194.6499996</v>
      </c>
    </row>
    <row r="1828" spans="1:10">
      <c r="A1828" s="4">
        <v>45657</v>
      </c>
      <c r="B1828" s="32"/>
      <c r="C1828" s="32"/>
      <c r="D1828" s="33">
        <v>9183774017.8799992</v>
      </c>
      <c r="E1828" s="33" t="s">
        <v>77</v>
      </c>
      <c r="F1828" s="32">
        <v>9183774017.8799992</v>
      </c>
      <c r="G1828" s="33">
        <v>270692666</v>
      </c>
      <c r="H1828" s="33" t="s">
        <v>76</v>
      </c>
      <c r="I1828" s="32">
        <v>270692666</v>
      </c>
      <c r="J1828" s="32">
        <v>9454466683.8799992</v>
      </c>
    </row>
    <row r="1829" spans="1:10">
      <c r="A1829" s="4">
        <v>45658</v>
      </c>
      <c r="B1829" s="32"/>
      <c r="C1829" s="32"/>
      <c r="D1829" s="33">
        <v>1769928758</v>
      </c>
      <c r="E1829" s="33" t="s">
        <v>77</v>
      </c>
      <c r="F1829" s="33">
        <v>1769928758</v>
      </c>
      <c r="G1829" s="33">
        <v>67387158</v>
      </c>
      <c r="H1829" s="33" t="s">
        <v>76</v>
      </c>
      <c r="I1829" s="32">
        <v>67387158</v>
      </c>
      <c r="J1829" s="32">
        <v>1837315916</v>
      </c>
    </row>
    <row r="1830" spans="1:10">
      <c r="A1830" s="4">
        <v>45659</v>
      </c>
      <c r="B1830" s="32"/>
      <c r="C1830" s="32"/>
      <c r="D1830" s="33">
        <v>3586684691</v>
      </c>
      <c r="E1830" s="33" t="s">
        <v>77</v>
      </c>
      <c r="F1830" s="33">
        <v>3586684691</v>
      </c>
      <c r="G1830" s="33">
        <v>159509614</v>
      </c>
      <c r="H1830" s="33">
        <v>9983111030</v>
      </c>
      <c r="I1830" s="32">
        <v>10142620644</v>
      </c>
      <c r="J1830" s="32">
        <v>13729305335</v>
      </c>
    </row>
    <row r="1831" spans="1:10">
      <c r="A1831" s="4">
        <v>45660</v>
      </c>
      <c r="B1831" s="32"/>
      <c r="C1831" s="32"/>
      <c r="D1831" s="33">
        <v>7353148990</v>
      </c>
      <c r="E1831" s="33">
        <v>960271</v>
      </c>
      <c r="F1831" s="33">
        <v>7354109261</v>
      </c>
      <c r="G1831" s="33">
        <v>346566160</v>
      </c>
      <c r="H1831" s="33">
        <v>1043000000</v>
      </c>
      <c r="I1831" s="32">
        <v>1389566160</v>
      </c>
      <c r="J1831" s="32">
        <v>8743675421</v>
      </c>
    </row>
    <row r="1832" spans="1:10">
      <c r="A1832" s="4">
        <v>45661</v>
      </c>
      <c r="B1832" s="32"/>
      <c r="C1832" s="32"/>
      <c r="D1832" s="33" t="s">
        <v>78</v>
      </c>
      <c r="E1832" s="33" t="s">
        <v>77</v>
      </c>
      <c r="F1832" s="33" t="s">
        <v>46</v>
      </c>
      <c r="G1832" s="33">
        <v>182380840</v>
      </c>
      <c r="H1832" s="33" t="s">
        <v>76</v>
      </c>
      <c r="I1832" s="32">
        <v>182380840</v>
      </c>
      <c r="J1832" s="32">
        <v>182380840</v>
      </c>
    </row>
    <row r="1833" spans="1:10">
      <c r="A1833" s="4">
        <v>45662</v>
      </c>
      <c r="B1833" s="32"/>
      <c r="C1833" s="32"/>
      <c r="D1833" s="33" t="s">
        <v>78</v>
      </c>
      <c r="E1833" s="33" t="s">
        <v>77</v>
      </c>
      <c r="F1833" s="33" t="s">
        <v>46</v>
      </c>
      <c r="G1833" s="33">
        <v>5500</v>
      </c>
      <c r="H1833" s="33" t="s">
        <v>76</v>
      </c>
      <c r="I1833" s="32">
        <v>5500</v>
      </c>
      <c r="J1833" s="32">
        <v>5500</v>
      </c>
    </row>
    <row r="1834" spans="1:10">
      <c r="A1834" s="4">
        <v>45663</v>
      </c>
      <c r="B1834" s="32"/>
      <c r="C1834" s="32"/>
      <c r="D1834" s="33">
        <v>10075690787</v>
      </c>
      <c r="E1834" s="33" t="s">
        <v>77</v>
      </c>
      <c r="F1834" s="33">
        <v>10075690787</v>
      </c>
      <c r="G1834" s="33">
        <v>319778024</v>
      </c>
      <c r="H1834" s="33" t="s">
        <v>76</v>
      </c>
      <c r="I1834" s="32">
        <v>319778024</v>
      </c>
      <c r="J1834" s="32">
        <v>10395468811</v>
      </c>
    </row>
    <row r="1835" spans="1:10">
      <c r="A1835" s="4">
        <v>45664</v>
      </c>
      <c r="B1835" s="32"/>
      <c r="C1835" s="32"/>
      <c r="D1835" s="33">
        <v>5162559503.6000004</v>
      </c>
      <c r="E1835" s="33" t="s">
        <v>77</v>
      </c>
      <c r="F1835" s="33">
        <v>5162559503.6000004</v>
      </c>
      <c r="G1835" s="33">
        <v>162786514</v>
      </c>
      <c r="H1835" s="33" t="s">
        <v>76</v>
      </c>
      <c r="I1835" s="32">
        <v>162786514</v>
      </c>
      <c r="J1835" s="32">
        <v>5325346017.6000004</v>
      </c>
    </row>
    <row r="1836" spans="1:10">
      <c r="A1836" s="4">
        <v>45665</v>
      </c>
      <c r="B1836" s="32"/>
      <c r="C1836" s="32"/>
      <c r="D1836" s="33">
        <v>8605625571</v>
      </c>
      <c r="E1836" s="33">
        <v>830928.84</v>
      </c>
      <c r="F1836" s="33">
        <v>8606456499.8400002</v>
      </c>
      <c r="G1836" s="33">
        <v>312539205</v>
      </c>
      <c r="H1836" s="33" t="s">
        <v>76</v>
      </c>
      <c r="I1836" s="32">
        <v>312539205</v>
      </c>
      <c r="J1836" s="32">
        <v>8918995704.8400002</v>
      </c>
    </row>
    <row r="1837" spans="1:10">
      <c r="A1837" s="4">
        <v>45666</v>
      </c>
      <c r="B1837" s="32"/>
      <c r="C1837" s="32"/>
      <c r="D1837" s="33">
        <v>4094926439</v>
      </c>
      <c r="E1837" s="33">
        <v>746162.16</v>
      </c>
      <c r="F1837" s="33">
        <v>4095672601.1599998</v>
      </c>
      <c r="G1837" s="33">
        <v>256714877</v>
      </c>
      <c r="H1837" s="33" t="s">
        <v>50</v>
      </c>
      <c r="I1837" s="32">
        <v>256714877</v>
      </c>
      <c r="J1837" s="32">
        <v>4352387478.1599998</v>
      </c>
    </row>
    <row r="1838" spans="1:10">
      <c r="A1838" s="4">
        <v>45667</v>
      </c>
      <c r="B1838" s="32"/>
      <c r="C1838" s="32"/>
      <c r="D1838" s="33">
        <v>4328727291</v>
      </c>
      <c r="E1838" s="33">
        <v>8000</v>
      </c>
      <c r="F1838" s="33">
        <v>4328735291</v>
      </c>
      <c r="G1838" s="33">
        <v>232644521</v>
      </c>
      <c r="H1838" s="33">
        <v>100000000</v>
      </c>
      <c r="I1838" s="32">
        <v>332644521</v>
      </c>
      <c r="J1838" s="32">
        <v>4661379812</v>
      </c>
    </row>
    <row r="1839" spans="1:10">
      <c r="A1839" s="4">
        <v>45668</v>
      </c>
      <c r="B1839" s="32"/>
      <c r="C1839" s="32"/>
      <c r="D1839" s="33" t="s">
        <v>78</v>
      </c>
      <c r="E1839" s="33" t="s">
        <v>77</v>
      </c>
      <c r="F1839" s="33" t="s">
        <v>46</v>
      </c>
      <c r="G1839" s="33">
        <v>197151992</v>
      </c>
      <c r="H1839" s="33" t="s">
        <v>76</v>
      </c>
      <c r="I1839" s="32">
        <v>197151992</v>
      </c>
      <c r="J1839" s="32">
        <v>197151992</v>
      </c>
    </row>
    <row r="1840" spans="1:10">
      <c r="A1840" s="4">
        <v>45669</v>
      </c>
      <c r="B1840" s="32"/>
      <c r="C1840" s="32"/>
      <c r="D1840" s="33" t="s">
        <v>78</v>
      </c>
      <c r="E1840" s="33" t="s">
        <v>77</v>
      </c>
      <c r="F1840" s="33" t="s">
        <v>46</v>
      </c>
      <c r="G1840" s="33">
        <v>5485100</v>
      </c>
      <c r="H1840" s="33" t="s">
        <v>76</v>
      </c>
      <c r="I1840" s="32">
        <v>5485100</v>
      </c>
      <c r="J1840" s="32">
        <v>5485100</v>
      </c>
    </row>
    <row r="1841" spans="1:10">
      <c r="A1841" s="4">
        <v>45670</v>
      </c>
      <c r="B1841" s="32"/>
      <c r="C1841" s="32"/>
      <c r="D1841" s="33" t="s">
        <v>78</v>
      </c>
      <c r="E1841" s="33" t="s">
        <v>77</v>
      </c>
      <c r="F1841" s="33" t="s">
        <v>46</v>
      </c>
      <c r="G1841" s="33">
        <v>800</v>
      </c>
      <c r="H1841" s="33" t="s">
        <v>76</v>
      </c>
      <c r="I1841" s="32">
        <v>800</v>
      </c>
      <c r="J1841" s="32">
        <v>800</v>
      </c>
    </row>
    <row r="1842" spans="1:10">
      <c r="A1842" s="4">
        <v>45671</v>
      </c>
      <c r="B1842" s="32"/>
      <c r="C1842" s="32"/>
      <c r="D1842" s="33" t="s">
        <v>78</v>
      </c>
      <c r="E1842" s="33" t="s">
        <v>77</v>
      </c>
      <c r="F1842" s="33" t="s">
        <v>46</v>
      </c>
      <c r="G1842" s="33">
        <v>33000</v>
      </c>
      <c r="H1842" s="33" t="s">
        <v>76</v>
      </c>
      <c r="I1842" s="32">
        <v>33000</v>
      </c>
      <c r="J1842" s="32">
        <v>33000</v>
      </c>
    </row>
    <row r="1843" spans="1:10">
      <c r="A1843" s="4">
        <v>45672</v>
      </c>
      <c r="B1843" s="32"/>
      <c r="C1843" s="32"/>
      <c r="D1843" s="33">
        <v>9849931232</v>
      </c>
      <c r="E1843" s="33">
        <v>1039485</v>
      </c>
      <c r="F1843" s="33">
        <v>9850970717</v>
      </c>
      <c r="G1843" s="33">
        <v>335827705</v>
      </c>
      <c r="H1843" s="33" t="s">
        <v>76</v>
      </c>
      <c r="I1843" s="32">
        <v>335827705</v>
      </c>
      <c r="J1843" s="32">
        <v>10186798422</v>
      </c>
    </row>
    <row r="1844" spans="1:10">
      <c r="A1844" s="4">
        <v>45673</v>
      </c>
      <c r="B1844" s="32"/>
      <c r="C1844" s="32"/>
      <c r="D1844" s="33">
        <v>6677845430</v>
      </c>
      <c r="E1844" s="33" t="s">
        <v>77</v>
      </c>
      <c r="F1844" s="33">
        <v>6677845430</v>
      </c>
      <c r="G1844" s="33">
        <v>436811668</v>
      </c>
      <c r="H1844" s="33" t="s">
        <v>76</v>
      </c>
      <c r="I1844" s="32">
        <v>436811668</v>
      </c>
      <c r="J1844" s="32">
        <v>7114657098</v>
      </c>
    </row>
    <row r="1845" spans="1:10">
      <c r="A1845" s="4">
        <v>45674</v>
      </c>
      <c r="B1845" s="32"/>
      <c r="C1845" s="32"/>
      <c r="D1845" s="33">
        <v>4328245508</v>
      </c>
      <c r="E1845" s="33">
        <v>975125</v>
      </c>
      <c r="F1845" s="33">
        <v>4329220633</v>
      </c>
      <c r="G1845" s="33">
        <v>465284534</v>
      </c>
      <c r="H1845" s="33">
        <v>100000000</v>
      </c>
      <c r="I1845" s="32">
        <v>565284534</v>
      </c>
      <c r="J1845" s="32">
        <v>4894505167</v>
      </c>
    </row>
    <row r="1846" spans="1:10">
      <c r="A1846" s="4">
        <v>45675</v>
      </c>
      <c r="B1846" s="32"/>
      <c r="C1846" s="32"/>
      <c r="D1846" s="33" t="s">
        <v>78</v>
      </c>
      <c r="E1846" s="33" t="s">
        <v>77</v>
      </c>
      <c r="F1846" s="33" t="s">
        <v>46</v>
      </c>
      <c r="G1846" s="33">
        <v>175206381</v>
      </c>
      <c r="H1846" s="33" t="s">
        <v>76</v>
      </c>
      <c r="I1846" s="32">
        <v>175206381</v>
      </c>
      <c r="J1846" s="32">
        <v>175206381</v>
      </c>
    </row>
    <row r="1847" spans="1:10">
      <c r="A1847" s="4">
        <v>45676</v>
      </c>
      <c r="B1847" s="32"/>
      <c r="C1847" s="32"/>
      <c r="D1847" s="33" t="s">
        <v>78</v>
      </c>
      <c r="E1847" s="33" t="s">
        <v>77</v>
      </c>
      <c r="F1847" s="33" t="s">
        <v>46</v>
      </c>
      <c r="G1847" s="33">
        <v>2588052</v>
      </c>
      <c r="H1847" s="33" t="s">
        <v>76</v>
      </c>
      <c r="I1847" s="32">
        <v>2588052</v>
      </c>
      <c r="J1847" s="32">
        <v>2588052</v>
      </c>
    </row>
    <row r="1848" spans="1:10">
      <c r="A1848" s="4">
        <v>45677</v>
      </c>
      <c r="B1848" s="32"/>
      <c r="C1848" s="32"/>
      <c r="D1848" s="33">
        <v>5343676891</v>
      </c>
      <c r="E1848" s="33" t="s">
        <v>77</v>
      </c>
      <c r="F1848" s="33">
        <v>5343676891</v>
      </c>
      <c r="G1848" s="33">
        <v>178181040</v>
      </c>
      <c r="H1848" s="33" t="s">
        <v>76</v>
      </c>
      <c r="I1848" s="32">
        <v>178181040</v>
      </c>
      <c r="J1848" s="32">
        <v>5521857931</v>
      </c>
    </row>
    <row r="1849" spans="1:10">
      <c r="A1849" s="4">
        <v>45678</v>
      </c>
      <c r="B1849" s="32"/>
      <c r="C1849" s="32"/>
      <c r="D1849" s="33">
        <v>5009298400</v>
      </c>
      <c r="E1849" s="33" t="s">
        <v>77</v>
      </c>
      <c r="F1849" s="33">
        <v>5009298400</v>
      </c>
      <c r="G1849" s="33">
        <v>400404999</v>
      </c>
      <c r="H1849" s="33" t="s">
        <v>76</v>
      </c>
      <c r="I1849" s="32">
        <v>400404999</v>
      </c>
      <c r="J1849" s="32">
        <v>5409703399</v>
      </c>
    </row>
    <row r="1850" spans="1:10">
      <c r="A1850" s="4">
        <v>45679</v>
      </c>
      <c r="B1850" s="32"/>
      <c r="C1850" s="32"/>
      <c r="D1850" s="33">
        <v>2157113181.8899999</v>
      </c>
      <c r="E1850" s="33">
        <v>383379123</v>
      </c>
      <c r="F1850" s="33">
        <v>2540492304.8899999</v>
      </c>
      <c r="G1850" s="33">
        <v>150484854</v>
      </c>
      <c r="H1850" s="33" t="s">
        <v>76</v>
      </c>
      <c r="I1850" s="32">
        <v>150484854</v>
      </c>
      <c r="J1850" s="32">
        <v>2690977158.8899999</v>
      </c>
    </row>
    <row r="1851" spans="1:10">
      <c r="A1851" s="4">
        <v>45680</v>
      </c>
      <c r="B1851" s="32"/>
      <c r="C1851" s="32"/>
      <c r="D1851" s="33">
        <v>4328682395</v>
      </c>
      <c r="E1851" s="33">
        <v>1638000</v>
      </c>
      <c r="F1851" s="33">
        <v>4330320395</v>
      </c>
      <c r="G1851" s="33">
        <v>210613130</v>
      </c>
      <c r="H1851" s="33" t="s">
        <v>76</v>
      </c>
      <c r="I1851" s="32">
        <v>210613130</v>
      </c>
      <c r="J1851" s="32">
        <v>4540933525</v>
      </c>
    </row>
    <row r="1852" spans="1:10">
      <c r="A1852" s="4">
        <v>45681</v>
      </c>
      <c r="B1852" s="32"/>
      <c r="C1852" s="32"/>
      <c r="D1852" s="33">
        <v>7146343881</v>
      </c>
      <c r="E1852" s="33">
        <v>26275.200000000001</v>
      </c>
      <c r="F1852" s="33">
        <v>7146370156.1999998</v>
      </c>
      <c r="G1852" s="33">
        <v>279102008</v>
      </c>
      <c r="H1852" s="33">
        <v>100000000</v>
      </c>
      <c r="I1852" s="32">
        <v>379102008</v>
      </c>
      <c r="J1852" s="32">
        <v>7525472164.1999998</v>
      </c>
    </row>
    <row r="1853" spans="1:10">
      <c r="A1853" s="4">
        <v>45682</v>
      </c>
      <c r="B1853" s="32"/>
      <c r="C1853" s="32"/>
      <c r="D1853" s="33" t="s">
        <v>78</v>
      </c>
      <c r="E1853" s="33" t="s">
        <v>77</v>
      </c>
      <c r="F1853" s="33" t="s">
        <v>46</v>
      </c>
      <c r="G1853" s="33">
        <v>10322751</v>
      </c>
      <c r="H1853" s="33" t="s">
        <v>76</v>
      </c>
      <c r="I1853" s="32">
        <v>10322751</v>
      </c>
      <c r="J1853" s="32">
        <v>10322751</v>
      </c>
    </row>
    <row r="1854" spans="1:10">
      <c r="A1854" s="4">
        <v>45683</v>
      </c>
      <c r="B1854" s="32"/>
      <c r="C1854" s="32"/>
      <c r="D1854" s="33" t="s">
        <v>78</v>
      </c>
      <c r="E1854" s="33" t="s">
        <v>77</v>
      </c>
      <c r="F1854" s="33" t="s">
        <v>46</v>
      </c>
      <c r="G1854" s="33">
        <v>409100</v>
      </c>
      <c r="H1854" s="33" t="s">
        <v>76</v>
      </c>
      <c r="I1854" s="32">
        <v>409100</v>
      </c>
      <c r="J1854" s="32">
        <v>409100</v>
      </c>
    </row>
    <row r="1855" spans="1:10">
      <c r="A1855" s="4">
        <v>45684</v>
      </c>
      <c r="B1855" s="32"/>
      <c r="C1855" s="32"/>
      <c r="D1855" s="33">
        <v>9577669189</v>
      </c>
      <c r="E1855" s="33">
        <v>905977.82</v>
      </c>
      <c r="F1855" s="33">
        <v>9578575166.8199997</v>
      </c>
      <c r="G1855" s="33">
        <v>474128524</v>
      </c>
      <c r="H1855" s="33" t="s">
        <v>76</v>
      </c>
      <c r="I1855" s="32">
        <v>474128524</v>
      </c>
      <c r="J1855" s="32">
        <v>10052703690.82</v>
      </c>
    </row>
    <row r="1856" spans="1:10">
      <c r="A1856" s="4">
        <v>45685</v>
      </c>
      <c r="B1856" s="32"/>
      <c r="C1856" s="32"/>
      <c r="D1856" s="33">
        <v>3942987107.5</v>
      </c>
      <c r="E1856" s="33">
        <v>1695055.66</v>
      </c>
      <c r="F1856" s="33">
        <v>3944682163.1599998</v>
      </c>
      <c r="G1856" s="33">
        <v>333880809</v>
      </c>
      <c r="H1856" s="33"/>
      <c r="I1856" s="32">
        <v>333880809</v>
      </c>
      <c r="J1856" s="32">
        <v>4278562972.1599998</v>
      </c>
    </row>
    <row r="1857" spans="1:10">
      <c r="A1857" s="4">
        <v>45686</v>
      </c>
      <c r="B1857" s="32"/>
      <c r="C1857" s="32"/>
      <c r="D1857" s="33">
        <v>4243729801</v>
      </c>
      <c r="E1857" s="33">
        <v>373297.91</v>
      </c>
      <c r="F1857" s="33">
        <v>4244103098.9099998</v>
      </c>
      <c r="G1857" s="33">
        <v>307821637</v>
      </c>
      <c r="H1857" s="33" t="s">
        <v>76</v>
      </c>
      <c r="I1857" s="32">
        <v>307821637</v>
      </c>
      <c r="J1857" s="32">
        <v>4551924735.9099998</v>
      </c>
    </row>
    <row r="1858" spans="1:10">
      <c r="A1858" s="4">
        <v>45687</v>
      </c>
      <c r="B1858" s="32"/>
      <c r="C1858" s="32"/>
      <c r="D1858" s="33">
        <v>7902906989.3999996</v>
      </c>
      <c r="E1858" s="33">
        <v>5011176.45</v>
      </c>
      <c r="F1858" s="33">
        <v>7907918165.8500004</v>
      </c>
      <c r="G1858" s="33">
        <v>315656011</v>
      </c>
      <c r="H1858" s="33"/>
      <c r="I1858" s="32">
        <v>315656011</v>
      </c>
      <c r="J1858" s="32">
        <v>8223574176.8500004</v>
      </c>
    </row>
    <row r="1859" spans="1:10">
      <c r="A1859" s="4">
        <v>45688</v>
      </c>
      <c r="B1859" s="32"/>
      <c r="C1859" s="32"/>
      <c r="D1859" s="33">
        <v>2596542769.4400001</v>
      </c>
      <c r="E1859" s="33">
        <v>1309092975.0899999</v>
      </c>
      <c r="F1859" s="33">
        <v>3905635744.5300002</v>
      </c>
      <c r="G1859" s="33">
        <v>110479932</v>
      </c>
      <c r="H1859" s="33">
        <v>100000000</v>
      </c>
      <c r="I1859" s="32">
        <v>210479932</v>
      </c>
      <c r="J1859" s="32">
        <v>4116115676.5300002</v>
      </c>
    </row>
    <row r="1860" spans="1:10">
      <c r="A1860" s="4">
        <v>45689</v>
      </c>
      <c r="B1860" s="32"/>
      <c r="C1860" s="32"/>
      <c r="D1860" s="33" t="s">
        <v>78</v>
      </c>
      <c r="E1860" s="33" t="s">
        <v>77</v>
      </c>
      <c r="F1860" s="33" t="s">
        <v>46</v>
      </c>
      <c r="G1860" s="33">
        <v>3327283</v>
      </c>
      <c r="H1860" s="33" t="s">
        <v>76</v>
      </c>
      <c r="I1860" s="32">
        <v>3327283</v>
      </c>
      <c r="J1860" s="32">
        <v>3327283</v>
      </c>
    </row>
    <row r="1861" spans="1:10">
      <c r="A1861" s="4">
        <v>45690</v>
      </c>
      <c r="B1861" s="32"/>
      <c r="C1861" s="32"/>
      <c r="D1861" s="33" t="s">
        <v>78</v>
      </c>
      <c r="E1861" s="33" t="s">
        <v>77</v>
      </c>
      <c r="F1861" s="33" t="s">
        <v>46</v>
      </c>
      <c r="G1861" s="33">
        <v>749150</v>
      </c>
      <c r="H1861" s="33" t="s">
        <v>76</v>
      </c>
      <c r="I1861" s="32">
        <v>749150</v>
      </c>
      <c r="J1861" s="32">
        <v>749150</v>
      </c>
    </row>
    <row r="1862" spans="1:10">
      <c r="A1862" s="4">
        <v>45691</v>
      </c>
      <c r="B1862" s="32"/>
      <c r="C1862" s="32"/>
      <c r="D1862" s="33">
        <v>5915472377.3100004</v>
      </c>
      <c r="E1862" s="33"/>
      <c r="F1862" s="33">
        <v>5915472377.3100004</v>
      </c>
      <c r="G1862" s="33">
        <v>395112663</v>
      </c>
      <c r="H1862" s="33" t="s">
        <v>76</v>
      </c>
      <c r="I1862" s="32">
        <v>395112663</v>
      </c>
      <c r="J1862" s="32">
        <v>6310585040.3100004</v>
      </c>
    </row>
    <row r="1863" spans="1:10">
      <c r="A1863" s="4">
        <v>45692</v>
      </c>
      <c r="B1863" s="32"/>
      <c r="C1863" s="32"/>
      <c r="D1863" s="33"/>
      <c r="E1863" s="33"/>
      <c r="F1863" s="33" t="s">
        <v>46</v>
      </c>
      <c r="G1863" s="33"/>
      <c r="H1863" s="33"/>
      <c r="I1863" s="32" t="s">
        <v>46</v>
      </c>
      <c r="J1863" s="32" t="s">
        <v>46</v>
      </c>
    </row>
    <row r="1864" spans="1:10">
      <c r="A1864" s="4">
        <v>45693</v>
      </c>
      <c r="B1864" s="32"/>
      <c r="C1864" s="32"/>
      <c r="D1864" s="33">
        <v>9231170007.0900002</v>
      </c>
      <c r="E1864" s="33">
        <v>52224234.840000004</v>
      </c>
      <c r="F1864" s="33">
        <v>9283394241.9300003</v>
      </c>
      <c r="G1864" s="33">
        <v>455393985</v>
      </c>
      <c r="H1864" s="33" t="s">
        <v>76</v>
      </c>
      <c r="I1864" s="32">
        <v>455393985</v>
      </c>
      <c r="J1864" s="32">
        <v>9738788226.9300003</v>
      </c>
    </row>
    <row r="1865" spans="1:10">
      <c r="A1865" s="4">
        <v>45694</v>
      </c>
      <c r="B1865" s="32"/>
      <c r="C1865" s="32"/>
      <c r="D1865" s="33">
        <v>5016773347</v>
      </c>
      <c r="E1865" s="33" t="s">
        <v>77</v>
      </c>
      <c r="F1865" s="33">
        <v>5016773347</v>
      </c>
      <c r="G1865" s="33">
        <v>623372328</v>
      </c>
      <c r="H1865" s="33">
        <v>8116479338</v>
      </c>
      <c r="I1865" s="32">
        <v>8739851666</v>
      </c>
      <c r="J1865" s="32">
        <v>13756625013</v>
      </c>
    </row>
    <row r="1866" spans="1:10">
      <c r="A1866" s="4">
        <v>45695</v>
      </c>
      <c r="B1866" s="32"/>
      <c r="C1866" s="32"/>
      <c r="D1866" s="33">
        <v>5832245967</v>
      </c>
      <c r="E1866" s="33" t="s">
        <v>77</v>
      </c>
      <c r="F1866" s="33">
        <v>5832245967</v>
      </c>
      <c r="G1866" s="33">
        <v>597408905</v>
      </c>
      <c r="H1866" s="33">
        <v>100000000</v>
      </c>
      <c r="I1866" s="32">
        <v>697408905</v>
      </c>
      <c r="J1866" s="32">
        <v>6529654872</v>
      </c>
    </row>
    <row r="1867" spans="1:10">
      <c r="A1867" s="4">
        <v>45696</v>
      </c>
      <c r="B1867" s="32"/>
      <c r="C1867" s="32"/>
      <c r="D1867" s="33" t="s">
        <v>78</v>
      </c>
      <c r="E1867" s="33" t="s">
        <v>77</v>
      </c>
      <c r="F1867" s="33" t="s">
        <v>46</v>
      </c>
      <c r="G1867" s="33">
        <v>25332752</v>
      </c>
      <c r="H1867" s="33" t="s">
        <v>76</v>
      </c>
      <c r="I1867" s="32">
        <v>25332752</v>
      </c>
      <c r="J1867" s="32">
        <v>25332752</v>
      </c>
    </row>
    <row r="1868" spans="1:10" ht="30.75">
      <c r="A1868" s="4">
        <v>45697</v>
      </c>
      <c r="B1868" s="32"/>
      <c r="C1868" s="32"/>
      <c r="D1868" s="33" t="s">
        <v>82</v>
      </c>
      <c r="E1868" s="33" t="s">
        <v>79</v>
      </c>
      <c r="F1868" s="33" t="s">
        <v>82</v>
      </c>
      <c r="G1868" s="33">
        <v>6078968</v>
      </c>
      <c r="H1868" s="33" t="s">
        <v>50</v>
      </c>
      <c r="I1868" s="32">
        <v>6078968</v>
      </c>
      <c r="J1868" s="32">
        <v>6078968</v>
      </c>
    </row>
    <row r="1869" spans="1:10">
      <c r="A1869" s="4">
        <v>45698</v>
      </c>
      <c r="B1869" s="32"/>
      <c r="C1869" s="32"/>
      <c r="D1869" s="33">
        <v>11083581077.6</v>
      </c>
      <c r="E1869" s="33" t="s">
        <v>77</v>
      </c>
      <c r="F1869" s="33">
        <v>11083581077.6</v>
      </c>
      <c r="G1869" s="33">
        <v>518017286</v>
      </c>
      <c r="H1869" s="33" t="s">
        <v>76</v>
      </c>
      <c r="I1869" s="32">
        <v>518017286</v>
      </c>
      <c r="J1869" s="32">
        <v>11601598363.6</v>
      </c>
    </row>
    <row r="1870" spans="1:10">
      <c r="A1870" s="4">
        <v>45699</v>
      </c>
      <c r="B1870" s="32"/>
      <c r="C1870" s="32"/>
      <c r="D1870" s="33">
        <v>4718068146</v>
      </c>
      <c r="E1870" s="33" t="s">
        <v>77</v>
      </c>
      <c r="F1870" s="33">
        <v>4718068146</v>
      </c>
      <c r="G1870" s="33">
        <v>230603546</v>
      </c>
      <c r="H1870" s="33" t="s">
        <v>76</v>
      </c>
      <c r="I1870" s="32">
        <v>230603546</v>
      </c>
      <c r="J1870" s="32">
        <v>4948671692</v>
      </c>
    </row>
    <row r="1871" spans="1:10">
      <c r="A1871" s="4">
        <v>45700</v>
      </c>
      <c r="B1871" s="32"/>
      <c r="C1871" s="32"/>
      <c r="D1871" s="33"/>
      <c r="E1871" s="33" t="s">
        <v>77</v>
      </c>
      <c r="F1871" s="33" t="s">
        <v>46</v>
      </c>
      <c r="G1871" s="33">
        <v>2310561</v>
      </c>
      <c r="H1871" s="33" t="s">
        <v>76</v>
      </c>
      <c r="I1871" s="32">
        <v>2310561</v>
      </c>
      <c r="J1871" s="32">
        <v>2310561</v>
      </c>
    </row>
    <row r="1872" spans="1:10">
      <c r="A1872" s="4">
        <v>45701</v>
      </c>
      <c r="B1872" s="32"/>
      <c r="C1872" s="32"/>
      <c r="D1872" s="33">
        <v>8277917279.5</v>
      </c>
      <c r="E1872" s="33" t="s">
        <v>77</v>
      </c>
      <c r="F1872" s="33">
        <v>8277917279.5</v>
      </c>
      <c r="G1872" s="33">
        <v>582706528</v>
      </c>
      <c r="H1872" s="33" t="s">
        <v>76</v>
      </c>
      <c r="I1872" s="32">
        <v>582706528</v>
      </c>
      <c r="J1872" s="32">
        <v>8860623807.5</v>
      </c>
    </row>
    <row r="1873" spans="1:10">
      <c r="A1873" s="4">
        <v>45702</v>
      </c>
      <c r="B1873" s="32"/>
      <c r="C1873" s="32"/>
      <c r="D1873" s="33">
        <v>3492219856.8000002</v>
      </c>
      <c r="E1873" s="33" t="s">
        <v>77</v>
      </c>
      <c r="F1873" s="33">
        <v>3492219856.8000002</v>
      </c>
      <c r="G1873" s="33">
        <v>418901661</v>
      </c>
      <c r="H1873" s="33">
        <v>100000000</v>
      </c>
      <c r="I1873" s="32">
        <v>518901661</v>
      </c>
      <c r="J1873" s="32">
        <v>4011121517.8000002</v>
      </c>
    </row>
    <row r="1874" spans="1:10">
      <c r="A1874" s="4">
        <v>45703</v>
      </c>
      <c r="B1874" s="32"/>
      <c r="C1874" s="32"/>
      <c r="D1874" s="33" t="s">
        <v>78</v>
      </c>
      <c r="E1874" s="33" t="s">
        <v>77</v>
      </c>
      <c r="F1874" s="33" t="s">
        <v>46</v>
      </c>
      <c r="G1874" s="33">
        <v>9762643</v>
      </c>
      <c r="H1874" s="33" t="s">
        <v>76</v>
      </c>
      <c r="I1874" s="32">
        <v>9762643</v>
      </c>
      <c r="J1874" s="32">
        <v>9762643</v>
      </c>
    </row>
    <row r="1875" spans="1:10">
      <c r="A1875" s="4">
        <v>45704</v>
      </c>
      <c r="B1875" s="32"/>
      <c r="C1875" s="32"/>
      <c r="D1875" s="33" t="s">
        <v>78</v>
      </c>
      <c r="E1875" s="33" t="s">
        <v>77</v>
      </c>
      <c r="F1875" s="33" t="s">
        <v>46</v>
      </c>
      <c r="G1875" s="33">
        <v>215550</v>
      </c>
      <c r="H1875" s="33" t="s">
        <v>76</v>
      </c>
      <c r="I1875" s="32">
        <v>215550</v>
      </c>
      <c r="J1875" s="32">
        <v>215550</v>
      </c>
    </row>
    <row r="1876" spans="1:10">
      <c r="A1876" s="4">
        <v>45705</v>
      </c>
      <c r="B1876" s="32"/>
      <c r="C1876" s="32"/>
      <c r="D1876" s="33">
        <v>8947194175.7999992</v>
      </c>
      <c r="E1876" s="33" t="s">
        <v>77</v>
      </c>
      <c r="F1876" s="33">
        <v>8947194175.7999992</v>
      </c>
      <c r="G1876" s="33">
        <v>410800219</v>
      </c>
      <c r="H1876" s="33" t="s">
        <v>76</v>
      </c>
      <c r="I1876" s="32">
        <v>410800219</v>
      </c>
      <c r="J1876" s="32">
        <v>9357994394.7999992</v>
      </c>
    </row>
    <row r="1877" spans="1:10">
      <c r="A1877" s="4">
        <v>45706</v>
      </c>
      <c r="B1877" s="32"/>
      <c r="C1877" s="32"/>
      <c r="D1877" s="33">
        <v>4152400979.9400001</v>
      </c>
      <c r="E1877" s="33" t="s">
        <v>77</v>
      </c>
      <c r="F1877" s="33">
        <v>4152400979.9400001</v>
      </c>
      <c r="G1877" s="33">
        <v>633058027</v>
      </c>
      <c r="H1877" s="33" t="s">
        <v>76</v>
      </c>
      <c r="I1877" s="32">
        <v>633058027</v>
      </c>
      <c r="J1877" s="32">
        <v>4785459006.9399996</v>
      </c>
    </row>
    <row r="1878" spans="1:10">
      <c r="A1878" s="4">
        <v>45707</v>
      </c>
      <c r="B1878" s="32"/>
      <c r="C1878" s="32"/>
      <c r="D1878" s="33">
        <v>3237730069</v>
      </c>
      <c r="E1878" s="33">
        <v>1100</v>
      </c>
      <c r="F1878" s="33">
        <v>3237731169</v>
      </c>
      <c r="G1878" s="33">
        <v>324824852</v>
      </c>
      <c r="H1878" s="33" t="s">
        <v>76</v>
      </c>
      <c r="I1878" s="32">
        <v>324824852</v>
      </c>
      <c r="J1878" s="32">
        <v>3562556021</v>
      </c>
    </row>
    <row r="1879" spans="1:10">
      <c r="A1879" s="4">
        <v>45708</v>
      </c>
      <c r="B1879" s="32"/>
      <c r="C1879" s="32"/>
      <c r="D1879" s="33">
        <v>4023111225</v>
      </c>
      <c r="E1879" s="33" t="s">
        <v>77</v>
      </c>
      <c r="F1879" s="33">
        <v>4023111225</v>
      </c>
      <c r="G1879" s="33">
        <v>288143579</v>
      </c>
      <c r="H1879" s="33" t="s">
        <v>76</v>
      </c>
      <c r="I1879" s="32">
        <v>288143579</v>
      </c>
      <c r="J1879" s="32">
        <v>4311254804</v>
      </c>
    </row>
    <row r="1880" spans="1:10">
      <c r="A1880" s="4">
        <v>45709</v>
      </c>
      <c r="B1880" s="32"/>
      <c r="C1880" s="32"/>
      <c r="D1880" s="33">
        <v>4648036178</v>
      </c>
      <c r="E1880" s="33" t="s">
        <v>77</v>
      </c>
      <c r="F1880" s="33">
        <v>4648036178</v>
      </c>
      <c r="G1880" s="33">
        <v>340806804.69</v>
      </c>
      <c r="H1880" s="33">
        <v>200000000</v>
      </c>
      <c r="I1880" s="32">
        <v>540806804.69000006</v>
      </c>
      <c r="J1880" s="32">
        <v>5188842982.6899996</v>
      </c>
    </row>
    <row r="1881" spans="1:10">
      <c r="A1881" s="4">
        <v>45710</v>
      </c>
      <c r="B1881" s="32"/>
      <c r="C1881" s="32"/>
      <c r="D1881" s="33" t="s">
        <v>78</v>
      </c>
      <c r="E1881" s="33" t="s">
        <v>77</v>
      </c>
      <c r="F1881" s="33" t="s">
        <v>46</v>
      </c>
      <c r="G1881" s="33">
        <v>11679512</v>
      </c>
      <c r="H1881" s="33" t="s">
        <v>76</v>
      </c>
      <c r="I1881" s="32">
        <v>11679512</v>
      </c>
      <c r="J1881" s="32">
        <v>11679512</v>
      </c>
    </row>
    <row r="1882" spans="1:10">
      <c r="A1882" s="4">
        <v>45711</v>
      </c>
      <c r="B1882" s="32"/>
      <c r="C1882" s="32"/>
      <c r="D1882" s="33" t="s">
        <v>78</v>
      </c>
      <c r="E1882" s="33" t="s">
        <v>77</v>
      </c>
      <c r="F1882" s="33" t="s">
        <v>46</v>
      </c>
      <c r="G1882" s="33">
        <v>13993220</v>
      </c>
      <c r="H1882" s="33" t="s">
        <v>76</v>
      </c>
      <c r="I1882" s="32">
        <v>13993220</v>
      </c>
      <c r="J1882" s="32">
        <v>13993220</v>
      </c>
    </row>
    <row r="1883" spans="1:10">
      <c r="A1883" s="4">
        <v>45712</v>
      </c>
      <c r="B1883" s="32"/>
      <c r="C1883" s="32"/>
      <c r="D1883" s="33">
        <v>6070812783.3500004</v>
      </c>
      <c r="E1883" s="33">
        <v>731812.42</v>
      </c>
      <c r="F1883" s="33">
        <v>6071544595.7700005</v>
      </c>
      <c r="G1883" s="33">
        <v>243857727</v>
      </c>
      <c r="H1883" s="33" t="s">
        <v>76</v>
      </c>
      <c r="I1883" s="32">
        <v>243857727</v>
      </c>
      <c r="J1883" s="32">
        <v>6315402322.7700005</v>
      </c>
    </row>
    <row r="1884" spans="1:10">
      <c r="A1884" s="4">
        <v>45713</v>
      </c>
      <c r="B1884" s="32"/>
      <c r="C1884" s="32"/>
      <c r="D1884" s="33">
        <v>7521171268.5</v>
      </c>
      <c r="E1884" s="33" t="s">
        <v>77</v>
      </c>
      <c r="F1884" s="33">
        <v>7521171268.5</v>
      </c>
      <c r="G1884" s="33">
        <v>275281441</v>
      </c>
      <c r="H1884" s="33" t="s">
        <v>76</v>
      </c>
      <c r="I1884" s="32">
        <v>275281441</v>
      </c>
      <c r="J1884" s="32">
        <v>7796452709.5</v>
      </c>
    </row>
    <row r="1885" spans="1:10">
      <c r="A1885" s="4">
        <v>45714</v>
      </c>
      <c r="B1885" s="32"/>
      <c r="C1885" s="32"/>
      <c r="D1885" s="33" t="s">
        <v>78</v>
      </c>
      <c r="E1885" s="33" t="s">
        <v>77</v>
      </c>
      <c r="F1885" s="33" t="s">
        <v>46</v>
      </c>
      <c r="G1885" s="33">
        <v>6846804</v>
      </c>
      <c r="H1885" s="33" t="s">
        <v>76</v>
      </c>
      <c r="I1885" s="32">
        <v>6846804</v>
      </c>
      <c r="J1885" s="32">
        <v>6846804</v>
      </c>
    </row>
    <row r="1886" spans="1:10">
      <c r="A1886" s="4">
        <v>45715</v>
      </c>
      <c r="B1886" s="32"/>
      <c r="C1886" s="32"/>
      <c r="D1886" s="33">
        <v>5543245543</v>
      </c>
      <c r="E1886" s="33" t="s">
        <v>77</v>
      </c>
      <c r="F1886" s="33">
        <v>5543245543</v>
      </c>
      <c r="G1886" s="33">
        <v>531208252</v>
      </c>
      <c r="H1886" s="33" t="s">
        <v>76</v>
      </c>
      <c r="I1886" s="32">
        <v>531208252</v>
      </c>
      <c r="J1886" s="32">
        <v>6074453795</v>
      </c>
    </row>
    <row r="1887" spans="1:10">
      <c r="A1887" s="4">
        <v>45716</v>
      </c>
      <c r="B1887" s="32"/>
      <c r="C1887" s="32"/>
      <c r="D1887" s="33">
        <v>9157868223.5</v>
      </c>
      <c r="E1887" s="33">
        <v>961489572.01999998</v>
      </c>
      <c r="F1887" s="33">
        <v>10119357795.52</v>
      </c>
      <c r="G1887" s="33">
        <v>378018633</v>
      </c>
      <c r="H1887" s="33">
        <v>100000000</v>
      </c>
      <c r="I1887" s="32">
        <v>478018633</v>
      </c>
      <c r="J1887" s="32">
        <v>10597376428.52</v>
      </c>
    </row>
    <row r="1888" spans="1:10">
      <c r="A1888" s="4">
        <v>45717</v>
      </c>
      <c r="B1888" s="32"/>
      <c r="C1888" s="32"/>
      <c r="D1888" s="33" t="s">
        <v>78</v>
      </c>
      <c r="E1888" s="33" t="s">
        <v>77</v>
      </c>
      <c r="F1888" s="33" t="s">
        <v>46</v>
      </c>
      <c r="G1888" s="33">
        <v>1167630</v>
      </c>
      <c r="H1888" s="33"/>
      <c r="I1888" s="32">
        <v>1167630</v>
      </c>
      <c r="J1888" s="32">
        <v>1167630</v>
      </c>
    </row>
    <row r="1889" spans="1:10">
      <c r="A1889" s="4">
        <v>45718</v>
      </c>
      <c r="B1889" s="32"/>
      <c r="C1889" s="32"/>
      <c r="D1889" s="33" t="s">
        <v>78</v>
      </c>
      <c r="E1889" s="33" t="s">
        <v>77</v>
      </c>
      <c r="F1889" s="33" t="s">
        <v>46</v>
      </c>
      <c r="G1889" s="33">
        <v>5097834</v>
      </c>
      <c r="H1889" s="33"/>
      <c r="I1889" s="32">
        <v>5097834</v>
      </c>
      <c r="J1889" s="32">
        <v>5097834</v>
      </c>
    </row>
    <row r="1890" spans="1:10">
      <c r="A1890" s="4">
        <v>45719</v>
      </c>
      <c r="B1890" s="32"/>
      <c r="C1890" s="32"/>
      <c r="D1890" s="33">
        <v>3881233460.8000002</v>
      </c>
      <c r="E1890" s="33"/>
      <c r="F1890" s="33">
        <v>3881233460.8000002</v>
      </c>
      <c r="G1890" s="33">
        <v>309243441</v>
      </c>
      <c r="H1890" s="33"/>
      <c r="I1890" s="32">
        <v>309243441</v>
      </c>
      <c r="J1890" s="32">
        <v>4190476901.8000002</v>
      </c>
    </row>
    <row r="1891" spans="1:10">
      <c r="A1891" s="4">
        <v>45720</v>
      </c>
      <c r="B1891" s="32"/>
      <c r="C1891" s="32"/>
      <c r="D1891" s="33">
        <v>6780298289</v>
      </c>
      <c r="E1891" s="33" t="s">
        <v>77</v>
      </c>
      <c r="F1891" s="33">
        <v>6780298289</v>
      </c>
      <c r="G1891" s="33">
        <v>274122605</v>
      </c>
      <c r="H1891" s="33" t="s">
        <v>76</v>
      </c>
      <c r="I1891" s="32">
        <v>274122605</v>
      </c>
      <c r="J1891" s="32">
        <v>7054420894</v>
      </c>
    </row>
    <row r="1892" spans="1:10">
      <c r="A1892" s="4">
        <v>45721</v>
      </c>
      <c r="B1892" s="32"/>
      <c r="C1892" s="32"/>
      <c r="D1892" s="33">
        <v>4089642026.8000002</v>
      </c>
      <c r="E1892" s="33" t="s">
        <v>77</v>
      </c>
      <c r="F1892" s="33">
        <v>4089642026.8000002</v>
      </c>
      <c r="G1892" s="33">
        <v>304384962</v>
      </c>
      <c r="H1892" s="33" t="s">
        <v>76</v>
      </c>
      <c r="I1892" s="32">
        <v>304384962</v>
      </c>
      <c r="J1892" s="32">
        <v>4394026988.8000002</v>
      </c>
    </row>
    <row r="1893" spans="1:10">
      <c r="A1893" s="4">
        <v>45722</v>
      </c>
      <c r="B1893" s="32"/>
      <c r="C1893" s="32"/>
      <c r="D1893" s="33">
        <v>3863134662</v>
      </c>
      <c r="E1893" s="33" t="s">
        <v>77</v>
      </c>
      <c r="F1893" s="33">
        <v>3863134662</v>
      </c>
      <c r="G1893" s="33">
        <v>264050632</v>
      </c>
      <c r="H1893" s="33">
        <v>5930431050</v>
      </c>
      <c r="I1893" s="32">
        <v>6194481682</v>
      </c>
      <c r="J1893" s="32">
        <v>10057616344</v>
      </c>
    </row>
    <row r="1894" spans="1:10">
      <c r="A1894" s="4">
        <v>45723</v>
      </c>
      <c r="B1894" s="32"/>
      <c r="C1894" s="32"/>
      <c r="D1894" s="33">
        <v>3632510903</v>
      </c>
      <c r="E1894" s="33" t="s">
        <v>77</v>
      </c>
      <c r="F1894" s="33">
        <v>3632510903</v>
      </c>
      <c r="G1894" s="33">
        <v>344267829</v>
      </c>
      <c r="H1894" s="33" t="s">
        <v>76</v>
      </c>
      <c r="I1894" s="32">
        <v>344267829</v>
      </c>
      <c r="J1894" s="32">
        <v>3976778732</v>
      </c>
    </row>
    <row r="1895" spans="1:10">
      <c r="A1895" s="4">
        <v>45724</v>
      </c>
      <c r="B1895" s="32"/>
      <c r="C1895" s="32"/>
      <c r="D1895" s="33" t="s">
        <v>78</v>
      </c>
      <c r="E1895" s="33" t="s">
        <v>77</v>
      </c>
      <c r="F1895" s="33" t="s">
        <v>46</v>
      </c>
      <c r="G1895" s="33">
        <v>15113310</v>
      </c>
      <c r="H1895" s="33" t="s">
        <v>76</v>
      </c>
      <c r="I1895" s="32">
        <v>15113310</v>
      </c>
      <c r="J1895" s="32">
        <v>15113310</v>
      </c>
    </row>
    <row r="1896" spans="1:10" ht="30.75">
      <c r="A1896" s="4">
        <v>45725</v>
      </c>
      <c r="B1896" s="32"/>
      <c r="C1896" s="32"/>
      <c r="D1896" s="33" t="s">
        <v>82</v>
      </c>
      <c r="E1896" s="33" t="s">
        <v>79</v>
      </c>
      <c r="F1896" s="33" t="s">
        <v>82</v>
      </c>
      <c r="G1896" s="33">
        <v>5763100</v>
      </c>
      <c r="H1896" s="33" t="s">
        <v>50</v>
      </c>
      <c r="I1896" s="32">
        <v>5763100</v>
      </c>
      <c r="J1896" s="32">
        <v>5763100</v>
      </c>
    </row>
    <row r="1897" spans="1:10">
      <c r="A1897" s="4">
        <v>45726</v>
      </c>
      <c r="B1897" s="32"/>
      <c r="C1897" s="32"/>
      <c r="D1897" s="33">
        <v>4778819005.1899996</v>
      </c>
      <c r="E1897" s="33" t="s">
        <v>77</v>
      </c>
      <c r="F1897" s="33">
        <v>4778819005.1899996</v>
      </c>
      <c r="G1897" s="33">
        <v>434508397</v>
      </c>
      <c r="H1897" s="33" t="s">
        <v>76</v>
      </c>
      <c r="I1897" s="32">
        <v>434508397</v>
      </c>
      <c r="J1897" s="32">
        <v>5213327402.1899996</v>
      </c>
    </row>
    <row r="1898" spans="1:10">
      <c r="A1898" s="4">
        <v>45727</v>
      </c>
      <c r="B1898" s="32"/>
      <c r="C1898" s="32"/>
      <c r="D1898" s="33">
        <v>10858942483</v>
      </c>
      <c r="E1898" s="33" t="s">
        <v>77</v>
      </c>
      <c r="F1898" s="33">
        <v>10858942483</v>
      </c>
      <c r="G1898" s="33">
        <v>436055825</v>
      </c>
      <c r="H1898" s="33" t="s">
        <v>76</v>
      </c>
      <c r="I1898" s="32">
        <v>436055825</v>
      </c>
      <c r="J1898" s="32">
        <v>11294998308</v>
      </c>
    </row>
    <row r="1899" spans="1:10">
      <c r="A1899" s="4">
        <v>45728</v>
      </c>
      <c r="B1899" s="32"/>
      <c r="C1899" s="32"/>
      <c r="D1899" s="33">
        <v>5411132070</v>
      </c>
      <c r="E1899" s="33" t="s">
        <v>77</v>
      </c>
      <c r="F1899" s="33">
        <v>5411132070</v>
      </c>
      <c r="G1899" s="33">
        <v>274812771</v>
      </c>
      <c r="H1899" s="33"/>
      <c r="I1899" s="32">
        <v>274812771</v>
      </c>
      <c r="J1899" s="32">
        <v>5685944841</v>
      </c>
    </row>
    <row r="1900" spans="1:10">
      <c r="A1900" s="4">
        <v>45729</v>
      </c>
      <c r="B1900" s="32"/>
      <c r="C1900" s="32"/>
      <c r="D1900" s="33" t="s">
        <v>78</v>
      </c>
      <c r="E1900" s="33" t="s">
        <v>77</v>
      </c>
      <c r="F1900" s="33" t="s">
        <v>46</v>
      </c>
      <c r="G1900" s="33">
        <v>1053349</v>
      </c>
      <c r="H1900" s="33"/>
      <c r="I1900" s="32">
        <v>1053349</v>
      </c>
      <c r="J1900" s="32">
        <v>1053349</v>
      </c>
    </row>
    <row r="1901" spans="1:10">
      <c r="A1901" s="4">
        <v>45730</v>
      </c>
      <c r="B1901" s="32"/>
      <c r="C1901" s="32"/>
      <c r="D1901" s="33">
        <v>2970331266.21</v>
      </c>
      <c r="E1901" s="33" t="s">
        <v>77</v>
      </c>
      <c r="F1901" s="33">
        <v>2970331266.21</v>
      </c>
      <c r="G1901" s="33">
        <v>200199641</v>
      </c>
      <c r="H1901" s="33">
        <v>100000000</v>
      </c>
      <c r="I1901" s="32">
        <v>300199641</v>
      </c>
      <c r="J1901" s="32">
        <v>3270530907.21</v>
      </c>
    </row>
    <row r="1902" spans="1:10">
      <c r="A1902" s="4">
        <v>45731</v>
      </c>
      <c r="B1902" s="32"/>
      <c r="C1902" s="32"/>
      <c r="D1902" s="33" t="s">
        <v>78</v>
      </c>
      <c r="E1902" s="33" t="s">
        <v>77</v>
      </c>
      <c r="F1902" s="33" t="s">
        <v>46</v>
      </c>
      <c r="G1902" s="33">
        <v>988219</v>
      </c>
      <c r="H1902" s="33" t="s">
        <v>76</v>
      </c>
      <c r="I1902" s="32">
        <v>988219</v>
      </c>
      <c r="J1902" s="32">
        <v>988219</v>
      </c>
    </row>
    <row r="1903" spans="1:10">
      <c r="A1903" s="4">
        <v>45732</v>
      </c>
      <c r="B1903" s="32"/>
      <c r="C1903" s="32"/>
      <c r="D1903" s="33" t="s">
        <v>78</v>
      </c>
      <c r="E1903" s="33" t="s">
        <v>77</v>
      </c>
      <c r="F1903" s="33" t="s">
        <v>46</v>
      </c>
      <c r="G1903" s="33" t="s">
        <v>46</v>
      </c>
      <c r="H1903" s="33" t="s">
        <v>76</v>
      </c>
      <c r="I1903" s="32" t="s">
        <v>46</v>
      </c>
      <c r="J1903" s="32" t="s">
        <v>46</v>
      </c>
    </row>
    <row r="1904" spans="1:10">
      <c r="A1904" s="4">
        <v>45733</v>
      </c>
      <c r="B1904" s="32"/>
      <c r="C1904" s="32"/>
      <c r="D1904" s="33">
        <v>10944541551.200001</v>
      </c>
      <c r="E1904" s="33" t="s">
        <v>77</v>
      </c>
      <c r="F1904" s="33">
        <v>10944541551.200001</v>
      </c>
      <c r="G1904" s="33">
        <v>218032959</v>
      </c>
      <c r="H1904" s="33" t="s">
        <v>76</v>
      </c>
      <c r="I1904" s="32">
        <v>218032959</v>
      </c>
      <c r="J1904" s="32">
        <v>11162574510.200001</v>
      </c>
    </row>
    <row r="1905" spans="1:10">
      <c r="A1905" s="4">
        <v>45734</v>
      </c>
      <c r="B1905" s="32"/>
      <c r="C1905" s="32"/>
      <c r="D1905" s="33">
        <v>7870910379</v>
      </c>
      <c r="E1905" s="33" t="s">
        <v>77</v>
      </c>
      <c r="F1905" s="33">
        <v>7870910379</v>
      </c>
      <c r="G1905" s="33">
        <v>467624874</v>
      </c>
      <c r="H1905" s="33" t="s">
        <v>76</v>
      </c>
      <c r="I1905" s="32">
        <v>467624874</v>
      </c>
      <c r="J1905" s="32">
        <v>8338535253</v>
      </c>
    </row>
    <row r="1906" spans="1:10">
      <c r="A1906" s="4">
        <v>45735</v>
      </c>
      <c r="B1906" s="32"/>
      <c r="C1906" s="32"/>
      <c r="D1906" s="33">
        <v>4255806710.5999999</v>
      </c>
      <c r="E1906" s="33" t="s">
        <v>77</v>
      </c>
      <c r="F1906" s="33">
        <v>4255806710.5999999</v>
      </c>
      <c r="G1906" s="33">
        <v>216319892</v>
      </c>
      <c r="H1906" s="33" t="s">
        <v>76</v>
      </c>
      <c r="I1906" s="32">
        <v>216319892</v>
      </c>
      <c r="J1906" s="32">
        <v>4472126602.6000004</v>
      </c>
    </row>
    <row r="1907" spans="1:10">
      <c r="A1907" s="4">
        <v>45736</v>
      </c>
      <c r="B1907" s="32"/>
      <c r="C1907" s="32"/>
      <c r="D1907" s="33">
        <v>6551242353.6000004</v>
      </c>
      <c r="E1907" s="33" t="s">
        <v>77</v>
      </c>
      <c r="F1907" s="33">
        <v>6551242353.6000004</v>
      </c>
      <c r="G1907" s="33">
        <v>245289735.31</v>
      </c>
      <c r="H1907" s="33" t="s">
        <v>76</v>
      </c>
      <c r="I1907" s="32">
        <v>245289735.31</v>
      </c>
      <c r="J1907" s="32">
        <v>6796532088.9099998</v>
      </c>
    </row>
    <row r="1908" spans="1:10">
      <c r="A1908" s="4">
        <v>45737</v>
      </c>
      <c r="B1908" s="32"/>
      <c r="C1908" s="32"/>
      <c r="D1908" s="33">
        <v>5633186953.25</v>
      </c>
      <c r="E1908" s="33"/>
      <c r="F1908" s="33">
        <v>5633186953.25</v>
      </c>
      <c r="G1908" s="33">
        <v>234492526</v>
      </c>
      <c r="H1908" s="33">
        <v>100000000</v>
      </c>
      <c r="I1908" s="32">
        <v>334492526</v>
      </c>
      <c r="J1908" s="32">
        <v>5967679479.25</v>
      </c>
    </row>
    <row r="1909" spans="1:10">
      <c r="A1909" s="4">
        <v>45738</v>
      </c>
      <c r="B1909" s="32"/>
      <c r="C1909" s="32"/>
      <c r="D1909" s="33" t="s">
        <v>78</v>
      </c>
      <c r="E1909" s="33" t="s">
        <v>77</v>
      </c>
      <c r="F1909" s="33" t="s">
        <v>46</v>
      </c>
      <c r="G1909" s="33">
        <v>170072366</v>
      </c>
      <c r="H1909" s="33" t="s">
        <v>76</v>
      </c>
      <c r="I1909" s="32">
        <v>170072366</v>
      </c>
      <c r="J1909" s="32">
        <v>170072366</v>
      </c>
    </row>
    <row r="1910" spans="1:10">
      <c r="A1910" s="4">
        <v>45739</v>
      </c>
      <c r="B1910" s="32"/>
      <c r="C1910" s="32"/>
      <c r="D1910" s="33" t="s">
        <v>78</v>
      </c>
      <c r="E1910" s="33" t="s">
        <v>77</v>
      </c>
      <c r="F1910" s="33" t="s">
        <v>46</v>
      </c>
      <c r="G1910" s="33">
        <v>10027758</v>
      </c>
      <c r="H1910" s="33" t="s">
        <v>76</v>
      </c>
      <c r="I1910" s="32">
        <v>10027758</v>
      </c>
      <c r="J1910" s="32">
        <v>10027758</v>
      </c>
    </row>
    <row r="1911" spans="1:10">
      <c r="A1911" s="4">
        <v>45740</v>
      </c>
      <c r="B1911" s="32"/>
      <c r="C1911" s="32"/>
      <c r="D1911" s="33">
        <v>15245303296.200001</v>
      </c>
      <c r="E1911" s="33">
        <v>18189</v>
      </c>
      <c r="F1911" s="33">
        <v>15245321485.200001</v>
      </c>
      <c r="G1911" s="33">
        <v>314693172</v>
      </c>
      <c r="H1911" s="33" t="s">
        <v>76</v>
      </c>
      <c r="I1911" s="32">
        <v>314693172</v>
      </c>
      <c r="J1911" s="32">
        <v>15560014657.200001</v>
      </c>
    </row>
    <row r="1912" spans="1:10">
      <c r="A1912" s="4">
        <v>45741</v>
      </c>
      <c r="B1912" s="32"/>
      <c r="C1912" s="32"/>
      <c r="D1912" s="33">
        <v>5583657770.5</v>
      </c>
      <c r="E1912" s="33">
        <v>2747600</v>
      </c>
      <c r="F1912" s="33">
        <v>5586405370.5</v>
      </c>
      <c r="G1912" s="33">
        <v>510589942</v>
      </c>
      <c r="H1912" s="33"/>
      <c r="I1912" s="32">
        <v>510589942</v>
      </c>
      <c r="J1912" s="32">
        <v>6096995312.5</v>
      </c>
    </row>
    <row r="1913" spans="1:10">
      <c r="A1913" s="4">
        <v>45742</v>
      </c>
      <c r="B1913" s="32"/>
      <c r="C1913" s="32"/>
      <c r="D1913" s="33">
        <v>5433608215.1999998</v>
      </c>
      <c r="E1913" s="33">
        <v>1100</v>
      </c>
      <c r="F1913" s="33">
        <v>5433609315.1999998</v>
      </c>
      <c r="G1913" s="33">
        <v>304011920</v>
      </c>
      <c r="H1913" s="33">
        <v>100000000</v>
      </c>
      <c r="I1913" s="32">
        <v>404011920</v>
      </c>
      <c r="J1913" s="32">
        <v>5837621235.1999998</v>
      </c>
    </row>
    <row r="1914" spans="1:10">
      <c r="A1914" s="4">
        <v>45743</v>
      </c>
      <c r="B1914" s="32"/>
      <c r="C1914" s="32"/>
      <c r="D1914" s="33">
        <v>4996312159</v>
      </c>
      <c r="E1914" s="33" t="s">
        <v>77</v>
      </c>
      <c r="F1914" s="33">
        <v>4996312159</v>
      </c>
      <c r="G1914" s="33">
        <v>225297440</v>
      </c>
      <c r="H1914" s="33" t="s">
        <v>76</v>
      </c>
      <c r="I1914" s="32">
        <v>225297440</v>
      </c>
      <c r="J1914" s="32">
        <v>5221609599</v>
      </c>
    </row>
    <row r="1915" spans="1:10">
      <c r="A1915" s="4">
        <v>45744</v>
      </c>
      <c r="B1915" s="32"/>
      <c r="C1915" s="32"/>
      <c r="D1915" s="33">
        <v>7707321299.5799999</v>
      </c>
      <c r="E1915" s="33">
        <v>2946899329.6999998</v>
      </c>
      <c r="F1915" s="33">
        <v>10654220629.280001</v>
      </c>
      <c r="G1915" s="33">
        <v>551956550</v>
      </c>
      <c r="H1915" s="33">
        <v>100000000</v>
      </c>
      <c r="I1915" s="32">
        <v>651956550</v>
      </c>
      <c r="J1915" s="32">
        <v>11306177179.280001</v>
      </c>
    </row>
    <row r="1916" spans="1:10">
      <c r="A1916" s="4">
        <v>45745</v>
      </c>
      <c r="B1916" s="32"/>
      <c r="C1916" s="32"/>
      <c r="D1916" s="33"/>
      <c r="E1916" s="33"/>
      <c r="F1916" s="33"/>
      <c r="G1916" s="33">
        <v>15705177</v>
      </c>
      <c r="H1916" s="33" t="s">
        <v>50</v>
      </c>
      <c r="I1916" s="32">
        <v>15705177</v>
      </c>
      <c r="J1916" s="32">
        <v>15705177</v>
      </c>
    </row>
    <row r="1917" spans="1:10">
      <c r="A1917" s="4">
        <v>45746</v>
      </c>
      <c r="B1917" s="32"/>
      <c r="C1917" s="32"/>
      <c r="D1917" s="33"/>
      <c r="E1917" s="33"/>
      <c r="F1917" s="33"/>
      <c r="G1917" s="33">
        <v>799700</v>
      </c>
      <c r="H1917" s="33" t="s">
        <v>50</v>
      </c>
      <c r="I1917" s="32">
        <v>799700</v>
      </c>
      <c r="J1917" s="32">
        <v>799700</v>
      </c>
    </row>
    <row r="1918" spans="1:10">
      <c r="A1918" s="4">
        <v>45747</v>
      </c>
      <c r="B1918" s="32"/>
      <c r="C1918" s="32"/>
      <c r="D1918" s="33"/>
      <c r="E1918" s="33"/>
      <c r="F1918" s="33"/>
      <c r="G1918" s="33">
        <v>74821809</v>
      </c>
      <c r="H1918" s="33" t="s">
        <v>50</v>
      </c>
      <c r="I1918" s="32">
        <v>74821809</v>
      </c>
      <c r="J1918" s="32">
        <v>74821809</v>
      </c>
    </row>
    <row r="1919" spans="1:10">
      <c r="A1919" s="4">
        <v>45748</v>
      </c>
      <c r="B1919" s="32"/>
      <c r="C1919" s="32"/>
      <c r="D1919" s="33">
        <v>7046324222.6499996</v>
      </c>
      <c r="E1919" s="33" t="s">
        <v>77</v>
      </c>
      <c r="F1919" s="33">
        <v>7046324222.6499996</v>
      </c>
      <c r="G1919" s="33">
        <v>380024177</v>
      </c>
      <c r="H1919" s="33" t="s">
        <v>76</v>
      </c>
      <c r="I1919" s="32">
        <v>380024177</v>
      </c>
      <c r="J1919" s="32">
        <v>7426348399.6499996</v>
      </c>
    </row>
    <row r="1920" spans="1:10">
      <c r="A1920" s="4">
        <v>45749</v>
      </c>
      <c r="B1920" s="32"/>
      <c r="C1920" s="32"/>
      <c r="D1920" s="33">
        <v>4776482857</v>
      </c>
      <c r="E1920" s="33">
        <v>1112000</v>
      </c>
      <c r="F1920" s="33">
        <v>4777594857</v>
      </c>
      <c r="G1920" s="33">
        <v>418282033</v>
      </c>
      <c r="H1920" s="33" t="s">
        <v>76</v>
      </c>
      <c r="I1920" s="32">
        <v>418282033</v>
      </c>
      <c r="J1920" s="32">
        <v>5195876890</v>
      </c>
    </row>
    <row r="1921" spans="1:10">
      <c r="A1921" s="4">
        <v>45750</v>
      </c>
      <c r="B1921" s="32"/>
      <c r="C1921" s="32"/>
      <c r="D1921" s="33">
        <v>6704620527</v>
      </c>
      <c r="E1921" s="33" t="s">
        <v>77</v>
      </c>
      <c r="F1921" s="33">
        <v>6704620527</v>
      </c>
      <c r="G1921" s="33">
        <v>545297983</v>
      </c>
      <c r="H1921" s="33"/>
      <c r="I1921" s="32">
        <v>545297983</v>
      </c>
      <c r="J1921" s="32">
        <v>7249918510</v>
      </c>
    </row>
    <row r="1922" spans="1:10">
      <c r="A1922" s="4">
        <v>45751</v>
      </c>
      <c r="B1922" s="32"/>
      <c r="C1922" s="32"/>
      <c r="D1922" s="33">
        <v>5404312083</v>
      </c>
      <c r="E1922" s="33">
        <v>5030240</v>
      </c>
      <c r="F1922" s="33">
        <v>5409342323</v>
      </c>
      <c r="G1922" s="33">
        <v>180268145</v>
      </c>
      <c r="H1922" s="33">
        <v>8412205180</v>
      </c>
      <c r="I1922" s="32">
        <v>8592473325</v>
      </c>
      <c r="J1922" s="32">
        <v>14001815648</v>
      </c>
    </row>
    <row r="1923" spans="1:10">
      <c r="A1923" s="4">
        <v>45752</v>
      </c>
      <c r="B1923" s="32"/>
      <c r="C1923" s="32"/>
      <c r="D1923" s="33" t="s">
        <v>78</v>
      </c>
      <c r="E1923" s="33" t="s">
        <v>77</v>
      </c>
      <c r="F1923" s="33" t="s">
        <v>46</v>
      </c>
      <c r="G1923" s="33">
        <v>177832916</v>
      </c>
      <c r="H1923" s="33" t="s">
        <v>76</v>
      </c>
      <c r="I1923" s="32">
        <v>177832916</v>
      </c>
      <c r="J1923" s="32">
        <v>177832916</v>
      </c>
    </row>
    <row r="1924" spans="1:10">
      <c r="A1924" s="4">
        <v>45753</v>
      </c>
      <c r="B1924" s="32"/>
      <c r="C1924" s="32"/>
      <c r="D1924" s="33" t="s">
        <v>78</v>
      </c>
      <c r="E1924" s="33" t="s">
        <v>77</v>
      </c>
      <c r="F1924" s="33" t="s">
        <v>46</v>
      </c>
      <c r="G1924" s="33">
        <v>2101300</v>
      </c>
      <c r="H1924" s="33" t="s">
        <v>76</v>
      </c>
      <c r="I1924" s="32">
        <v>2101300</v>
      </c>
      <c r="J1924" s="32">
        <v>2101300</v>
      </c>
    </row>
    <row r="1925" spans="1:10">
      <c r="A1925" s="4">
        <v>45754</v>
      </c>
      <c r="B1925" s="32"/>
      <c r="C1925" s="32"/>
      <c r="D1925" s="33">
        <v>10584564052</v>
      </c>
      <c r="E1925" s="33" t="s">
        <v>77</v>
      </c>
      <c r="F1925" s="33">
        <v>10584564052</v>
      </c>
      <c r="G1925" s="33">
        <v>460002146</v>
      </c>
      <c r="H1925" s="33" t="s">
        <v>76</v>
      </c>
      <c r="I1925" s="32">
        <v>460002146</v>
      </c>
      <c r="J1925" s="32">
        <v>11044566198</v>
      </c>
    </row>
    <row r="1926" spans="1:10">
      <c r="A1926" s="4">
        <v>45755</v>
      </c>
      <c r="B1926" s="32"/>
      <c r="C1926" s="32"/>
      <c r="D1926" s="33">
        <v>14725100569</v>
      </c>
      <c r="E1926" s="33">
        <v>965125</v>
      </c>
      <c r="F1926" s="33">
        <v>14726065694</v>
      </c>
      <c r="G1926" s="33">
        <v>353826225</v>
      </c>
      <c r="H1926" s="33" t="s">
        <v>76</v>
      </c>
      <c r="I1926" s="32">
        <v>353826225</v>
      </c>
      <c r="J1926" s="32">
        <v>15079891919</v>
      </c>
    </row>
    <row r="1927" spans="1:10">
      <c r="A1927" s="4">
        <v>45756</v>
      </c>
      <c r="B1927" s="32"/>
      <c r="C1927" s="32"/>
      <c r="D1927" s="33">
        <v>8278781322.3999996</v>
      </c>
      <c r="E1927" s="33" t="s">
        <v>79</v>
      </c>
      <c r="F1927" s="33">
        <v>8278781322.3999996</v>
      </c>
      <c r="G1927" s="33">
        <v>316575059</v>
      </c>
      <c r="H1927" s="33" t="s">
        <v>50</v>
      </c>
      <c r="I1927" s="32">
        <v>316575059</v>
      </c>
      <c r="J1927" s="32">
        <v>8595356381.3999996</v>
      </c>
    </row>
    <row r="1928" spans="1:10">
      <c r="A1928" s="4">
        <v>45757</v>
      </c>
      <c r="B1928" s="32"/>
      <c r="C1928" s="32"/>
      <c r="D1928" s="33">
        <v>7528430895</v>
      </c>
      <c r="E1928" s="33" t="s">
        <v>77</v>
      </c>
      <c r="F1928" s="33">
        <v>7528430895</v>
      </c>
      <c r="G1928" s="33">
        <v>298408815</v>
      </c>
      <c r="H1928" s="33" t="s">
        <v>76</v>
      </c>
      <c r="I1928" s="32">
        <v>298408815</v>
      </c>
      <c r="J1928" s="32">
        <v>7826839710</v>
      </c>
    </row>
    <row r="1929" spans="1:10">
      <c r="A1929" s="4">
        <v>45758</v>
      </c>
      <c r="B1929" s="32"/>
      <c r="C1929" s="32"/>
      <c r="D1929" s="33">
        <v>10194001031</v>
      </c>
      <c r="E1929" s="33" t="s">
        <v>77</v>
      </c>
      <c r="F1929" s="33">
        <v>10194001031</v>
      </c>
      <c r="G1929" s="33">
        <v>485508543</v>
      </c>
      <c r="H1929" s="33">
        <v>100000000</v>
      </c>
      <c r="I1929" s="32">
        <v>585508543</v>
      </c>
      <c r="J1929" s="32">
        <v>10779509574</v>
      </c>
    </row>
    <row r="1930" spans="1:10">
      <c r="A1930" s="4">
        <v>45759</v>
      </c>
      <c r="B1930" s="32"/>
      <c r="C1930" s="32"/>
      <c r="D1930" s="33" t="s">
        <v>78</v>
      </c>
      <c r="E1930" s="33" t="s">
        <v>77</v>
      </c>
      <c r="F1930" s="33" t="s">
        <v>46</v>
      </c>
      <c r="G1930" s="33">
        <v>169304338</v>
      </c>
      <c r="H1930" s="33" t="s">
        <v>76</v>
      </c>
      <c r="I1930" s="32">
        <v>169304338</v>
      </c>
      <c r="J1930" s="32">
        <v>169304338</v>
      </c>
    </row>
    <row r="1931" spans="1:10" ht="30.75">
      <c r="A1931" s="4">
        <v>45760</v>
      </c>
      <c r="B1931" s="32"/>
      <c r="C1931" s="32"/>
      <c r="D1931" s="33" t="s">
        <v>78</v>
      </c>
      <c r="E1931" s="33" t="s">
        <v>77</v>
      </c>
      <c r="F1931" s="33" t="s">
        <v>46</v>
      </c>
      <c r="G1931" s="33" t="s">
        <v>81</v>
      </c>
      <c r="H1931" s="33" t="s">
        <v>76</v>
      </c>
      <c r="I1931" s="32" t="s">
        <v>46</v>
      </c>
      <c r="J1931" s="32" t="s">
        <v>46</v>
      </c>
    </row>
    <row r="1932" spans="1:10">
      <c r="A1932" s="4">
        <v>45761</v>
      </c>
      <c r="B1932" s="32"/>
      <c r="C1932" s="32"/>
      <c r="D1932" s="33" t="s">
        <v>78</v>
      </c>
      <c r="E1932" s="33" t="s">
        <v>77</v>
      </c>
      <c r="F1932" s="33" t="s">
        <v>46</v>
      </c>
      <c r="G1932" s="33" t="s">
        <v>46</v>
      </c>
      <c r="H1932" s="33" t="s">
        <v>76</v>
      </c>
      <c r="I1932" s="32" t="s">
        <v>46</v>
      </c>
      <c r="J1932" s="32" t="s">
        <v>46</v>
      </c>
    </row>
    <row r="1933" spans="1:10">
      <c r="A1933" s="4">
        <v>45762</v>
      </c>
      <c r="B1933" s="32"/>
      <c r="C1933" s="32"/>
      <c r="D1933" s="33" t="s">
        <v>78</v>
      </c>
      <c r="E1933" s="33" t="s">
        <v>77</v>
      </c>
      <c r="F1933" s="33" t="s">
        <v>46</v>
      </c>
      <c r="G1933" s="33">
        <v>10826808</v>
      </c>
      <c r="H1933" s="33" t="s">
        <v>76</v>
      </c>
      <c r="I1933" s="32">
        <v>10826808</v>
      </c>
      <c r="J1933" s="32">
        <v>10826808</v>
      </c>
    </row>
    <row r="1934" spans="1:10">
      <c r="A1934" s="4">
        <v>45763</v>
      </c>
      <c r="B1934" s="32"/>
      <c r="C1934" s="32"/>
      <c r="D1934" s="33">
        <v>5885747425</v>
      </c>
      <c r="E1934" s="33" t="s">
        <v>77</v>
      </c>
      <c r="F1934" s="33">
        <v>5885747425</v>
      </c>
      <c r="G1934" s="33">
        <v>143546807</v>
      </c>
      <c r="H1934" s="33" t="s">
        <v>76</v>
      </c>
      <c r="I1934" s="32">
        <v>143546807</v>
      </c>
      <c r="J1934" s="32">
        <v>6029294232</v>
      </c>
    </row>
    <row r="1935" spans="1:10">
      <c r="A1935" s="4">
        <v>45764</v>
      </c>
      <c r="B1935" s="32"/>
      <c r="C1935" s="32"/>
      <c r="D1935" s="33">
        <v>6068999133</v>
      </c>
      <c r="E1935" s="33">
        <v>99066</v>
      </c>
      <c r="F1935" s="33">
        <v>6069098199</v>
      </c>
      <c r="G1935" s="33">
        <v>327789034</v>
      </c>
      <c r="H1935" s="33">
        <v>100000000</v>
      </c>
      <c r="I1935" s="32">
        <v>427789034</v>
      </c>
      <c r="J1935" s="32">
        <v>6496887233</v>
      </c>
    </row>
    <row r="1936" spans="1:10">
      <c r="A1936" s="4">
        <v>45765</v>
      </c>
      <c r="B1936" s="32"/>
      <c r="C1936" s="32"/>
      <c r="D1936" s="33" t="s">
        <v>78</v>
      </c>
      <c r="E1936" s="33" t="s">
        <v>77</v>
      </c>
      <c r="F1936" s="33" t="s">
        <v>46</v>
      </c>
      <c r="G1936" s="33">
        <v>170350320</v>
      </c>
      <c r="H1936" s="33" t="s">
        <v>76</v>
      </c>
      <c r="I1936" s="32">
        <v>170350320</v>
      </c>
      <c r="J1936" s="32">
        <v>170350320</v>
      </c>
    </row>
    <row r="1937" spans="1:10">
      <c r="A1937" s="4">
        <v>45766</v>
      </c>
      <c r="B1937" s="32"/>
      <c r="C1937" s="32"/>
      <c r="D1937" s="33" t="s">
        <v>78</v>
      </c>
      <c r="E1937" s="33" t="s">
        <v>77</v>
      </c>
      <c r="F1937" s="33" t="s">
        <v>46</v>
      </c>
      <c r="G1937" s="33">
        <v>802200</v>
      </c>
      <c r="H1937" s="33" t="s">
        <v>76</v>
      </c>
      <c r="I1937" s="32">
        <v>802200</v>
      </c>
      <c r="J1937" s="32">
        <v>802200</v>
      </c>
    </row>
    <row r="1938" spans="1:10">
      <c r="A1938" s="4">
        <v>45767</v>
      </c>
      <c r="B1938" s="32"/>
      <c r="C1938" s="32"/>
      <c r="D1938" s="33" t="s">
        <v>78</v>
      </c>
      <c r="E1938" s="33" t="s">
        <v>77</v>
      </c>
      <c r="F1938" s="33" t="s">
        <v>46</v>
      </c>
      <c r="G1938" s="33">
        <v>23712487</v>
      </c>
      <c r="H1938" s="33" t="s">
        <v>76</v>
      </c>
      <c r="I1938" s="32">
        <v>23712487</v>
      </c>
      <c r="J1938" s="32">
        <v>23712487</v>
      </c>
    </row>
    <row r="1939" spans="1:10">
      <c r="A1939" s="4">
        <v>45768</v>
      </c>
      <c r="B1939" s="32"/>
      <c r="C1939" s="32"/>
      <c r="D1939" s="33">
        <v>8520326640</v>
      </c>
      <c r="E1939" s="33"/>
      <c r="F1939" s="33">
        <v>8520326640</v>
      </c>
      <c r="G1939" s="33">
        <v>264598261</v>
      </c>
      <c r="H1939" s="33" t="s">
        <v>76</v>
      </c>
      <c r="I1939" s="32">
        <v>264598261</v>
      </c>
      <c r="J1939" s="32">
        <v>8784924901</v>
      </c>
    </row>
    <row r="1940" spans="1:10">
      <c r="A1940" s="4">
        <v>45769</v>
      </c>
      <c r="B1940" s="32"/>
      <c r="C1940" s="32"/>
      <c r="D1940" s="33">
        <v>11510214766.5</v>
      </c>
      <c r="E1940" s="33">
        <v>1923305.39</v>
      </c>
      <c r="F1940" s="33">
        <v>11512138071.889999</v>
      </c>
      <c r="G1940" s="33">
        <v>606719669</v>
      </c>
      <c r="H1940" s="33" t="s">
        <v>76</v>
      </c>
      <c r="I1940" s="32">
        <v>606719669</v>
      </c>
      <c r="J1940" s="32">
        <v>12118857740.889999</v>
      </c>
    </row>
    <row r="1941" spans="1:10">
      <c r="A1941" s="4">
        <v>45770</v>
      </c>
      <c r="B1941" s="32"/>
      <c r="C1941" s="32"/>
      <c r="D1941" s="33">
        <v>13859369171.4</v>
      </c>
      <c r="E1941" s="33" t="s">
        <v>77</v>
      </c>
      <c r="F1941" s="33">
        <v>13859369171.4</v>
      </c>
      <c r="G1941" s="33">
        <v>340520032</v>
      </c>
      <c r="H1941" s="33" t="s">
        <v>76</v>
      </c>
      <c r="I1941" s="32">
        <v>340520032</v>
      </c>
      <c r="J1941" s="32">
        <v>14199889203.4</v>
      </c>
    </row>
    <row r="1942" spans="1:10">
      <c r="A1942" s="4">
        <v>45771</v>
      </c>
      <c r="B1942" s="32"/>
      <c r="C1942" s="32"/>
      <c r="D1942" s="33">
        <v>8128531666.1999998</v>
      </c>
      <c r="E1942" s="33" t="s">
        <v>77</v>
      </c>
      <c r="F1942" s="33">
        <v>8128531666.1999998</v>
      </c>
      <c r="G1942" s="33">
        <v>341255924</v>
      </c>
      <c r="H1942" s="33" t="s">
        <v>76</v>
      </c>
      <c r="I1942" s="32">
        <v>341255924</v>
      </c>
      <c r="J1942" s="32">
        <v>8469787590.1999998</v>
      </c>
    </row>
    <row r="1943" spans="1:10">
      <c r="A1943" s="4">
        <v>45772</v>
      </c>
      <c r="B1943" s="32"/>
      <c r="C1943" s="32"/>
      <c r="D1943" s="33">
        <v>22130840298</v>
      </c>
      <c r="E1943" s="33">
        <v>401179856.27999997</v>
      </c>
      <c r="F1943" s="33">
        <v>22532020154.279999</v>
      </c>
      <c r="G1943" s="33">
        <v>621082886</v>
      </c>
      <c r="H1943" s="33">
        <v>100000000</v>
      </c>
      <c r="I1943" s="32">
        <v>721082886</v>
      </c>
      <c r="J1943" s="32">
        <v>23253103040.279999</v>
      </c>
    </row>
    <row r="1944" spans="1:10">
      <c r="A1944" s="4">
        <v>45773</v>
      </c>
      <c r="B1944" s="32"/>
      <c r="C1944" s="32"/>
      <c r="D1944" s="33" t="s">
        <v>78</v>
      </c>
      <c r="E1944" s="33"/>
      <c r="F1944" s="33" t="s">
        <v>46</v>
      </c>
      <c r="G1944" s="33">
        <v>12473124</v>
      </c>
      <c r="H1944" s="33" t="s">
        <v>76</v>
      </c>
      <c r="I1944" s="32">
        <v>12473124</v>
      </c>
      <c r="J1944" s="32">
        <v>12473124</v>
      </c>
    </row>
    <row r="1945" spans="1:10">
      <c r="A1945" s="4">
        <v>45774</v>
      </c>
      <c r="B1945" s="32"/>
      <c r="C1945" s="32"/>
      <c r="D1945" s="33" t="s">
        <v>78</v>
      </c>
      <c r="E1945" s="33"/>
      <c r="F1945" s="33" t="s">
        <v>46</v>
      </c>
      <c r="G1945" s="33">
        <v>12914250</v>
      </c>
      <c r="H1945" s="33"/>
      <c r="I1945" s="32">
        <v>12914250</v>
      </c>
      <c r="J1945" s="32">
        <v>12914250</v>
      </c>
    </row>
    <row r="1946" spans="1:10">
      <c r="A1946" s="4">
        <v>45775</v>
      </c>
      <c r="B1946" s="32"/>
      <c r="C1946" s="32"/>
      <c r="D1946" s="33">
        <v>7572019677.1999998</v>
      </c>
      <c r="E1946" s="33">
        <v>323340.11</v>
      </c>
      <c r="F1946" s="33">
        <v>7572343017.3100004</v>
      </c>
      <c r="G1946" s="33">
        <v>314459110.08999997</v>
      </c>
      <c r="H1946" s="33" t="s">
        <v>50</v>
      </c>
      <c r="I1946" s="32">
        <v>314459110.08999997</v>
      </c>
      <c r="J1946" s="32">
        <v>7886802127.3999996</v>
      </c>
    </row>
    <row r="1947" spans="1:10">
      <c r="A1947" s="4">
        <v>45776</v>
      </c>
      <c r="B1947" s="32"/>
      <c r="C1947" s="32"/>
      <c r="D1947" s="33">
        <v>9835234121.3600006</v>
      </c>
      <c r="E1947" s="33">
        <v>7720261.4900000002</v>
      </c>
      <c r="F1947" s="33">
        <v>9842954382.8500004</v>
      </c>
      <c r="G1947" s="33">
        <v>448296389</v>
      </c>
      <c r="H1947" s="33" t="s">
        <v>50</v>
      </c>
      <c r="I1947" s="32">
        <v>448296389</v>
      </c>
      <c r="J1947" s="32">
        <v>10291250771.85</v>
      </c>
    </row>
    <row r="1948" spans="1:10">
      <c r="A1948" s="4">
        <v>45777</v>
      </c>
      <c r="B1948" s="32"/>
      <c r="C1948" s="32"/>
      <c r="D1948" s="33">
        <v>6199523328.5799999</v>
      </c>
      <c r="E1948" s="33">
        <v>3481093619.8000002</v>
      </c>
      <c r="F1948" s="33">
        <v>9680616948.3799992</v>
      </c>
      <c r="G1948" s="33">
        <v>631266305</v>
      </c>
      <c r="H1948" s="33">
        <v>100000000</v>
      </c>
      <c r="I1948" s="32">
        <v>731266305</v>
      </c>
      <c r="J1948" s="32">
        <v>10411883253.379999</v>
      </c>
    </row>
    <row r="1949" spans="1:10">
      <c r="A1949" s="4">
        <v>45778</v>
      </c>
      <c r="B1949" s="32"/>
      <c r="C1949" s="32"/>
      <c r="D1949" s="33" t="s">
        <v>78</v>
      </c>
      <c r="E1949" s="33" t="s">
        <v>77</v>
      </c>
      <c r="F1949" s="33" t="s">
        <v>46</v>
      </c>
      <c r="G1949" s="33">
        <v>277350</v>
      </c>
      <c r="H1949" s="33" t="s">
        <v>76</v>
      </c>
      <c r="I1949" s="32">
        <v>277350</v>
      </c>
      <c r="J1949" s="32">
        <v>277350</v>
      </c>
    </row>
    <row r="1950" spans="1:10">
      <c r="A1950" s="4">
        <v>45779</v>
      </c>
      <c r="B1950" s="32"/>
      <c r="C1950" s="32"/>
      <c r="D1950" s="33">
        <v>5841262502.21</v>
      </c>
      <c r="E1950" s="33" t="s">
        <v>77</v>
      </c>
      <c r="F1950" s="33">
        <v>5841262502.21</v>
      </c>
      <c r="G1950" s="33">
        <v>289746016</v>
      </c>
      <c r="H1950" s="33">
        <v>100000000</v>
      </c>
      <c r="I1950" s="32">
        <v>389746016</v>
      </c>
      <c r="J1950" s="32">
        <v>6231008518.21</v>
      </c>
    </row>
    <row r="1951" spans="1:10">
      <c r="A1951" s="4">
        <v>45780</v>
      </c>
      <c r="B1951" s="32"/>
      <c r="C1951" s="32"/>
      <c r="D1951" s="33" t="s">
        <v>78</v>
      </c>
      <c r="E1951" s="33" t="s">
        <v>77</v>
      </c>
      <c r="F1951" s="33"/>
      <c r="G1951" s="33">
        <v>170881531</v>
      </c>
      <c r="H1951" s="33" t="s">
        <v>76</v>
      </c>
      <c r="I1951" s="32">
        <v>170881531</v>
      </c>
      <c r="J1951" s="32">
        <v>170881531</v>
      </c>
    </row>
    <row r="1952" spans="1:10">
      <c r="A1952" s="4">
        <v>45781</v>
      </c>
      <c r="B1952" s="32"/>
      <c r="C1952" s="32"/>
      <c r="D1952" s="33" t="s">
        <v>78</v>
      </c>
      <c r="E1952" s="33"/>
      <c r="F1952" s="33"/>
      <c r="G1952" s="33">
        <v>4077915</v>
      </c>
      <c r="H1952" s="33" t="s">
        <v>76</v>
      </c>
      <c r="I1952" s="32">
        <v>4077915</v>
      </c>
      <c r="J1952" s="32">
        <v>4077915</v>
      </c>
    </row>
    <row r="1953" spans="1:10">
      <c r="A1953" s="4">
        <v>45782</v>
      </c>
      <c r="B1953" s="32"/>
      <c r="C1953" s="32"/>
      <c r="D1953" s="33">
        <v>7109349800.5</v>
      </c>
      <c r="E1953" s="33">
        <v>65710496.369999997</v>
      </c>
      <c r="F1953" s="33">
        <v>7175060296.8699999</v>
      </c>
      <c r="G1953" s="33">
        <v>327157553</v>
      </c>
      <c r="H1953" s="33">
        <v>9855291150</v>
      </c>
      <c r="I1953" s="32">
        <v>10182448703</v>
      </c>
      <c r="J1953" s="32">
        <v>17357508999.869999</v>
      </c>
    </row>
    <row r="1954" spans="1:10">
      <c r="A1954" s="4">
        <v>45783</v>
      </c>
      <c r="B1954" s="32"/>
      <c r="C1954" s="32"/>
      <c r="D1954" s="33">
        <v>4664241011</v>
      </c>
      <c r="E1954" s="33" t="s">
        <v>77</v>
      </c>
      <c r="F1954" s="33">
        <v>4664241011</v>
      </c>
      <c r="G1954" s="33">
        <v>186367804</v>
      </c>
      <c r="H1954" s="33" t="s">
        <v>76</v>
      </c>
      <c r="I1954" s="32">
        <v>186367804</v>
      </c>
      <c r="J1954" s="32">
        <v>4850608815</v>
      </c>
    </row>
    <row r="1955" spans="1:10">
      <c r="A1955" s="4">
        <v>45784</v>
      </c>
      <c r="B1955" s="32"/>
      <c r="C1955" s="32"/>
      <c r="D1955" s="33">
        <v>7695795893</v>
      </c>
      <c r="E1955" s="33" t="s">
        <v>77</v>
      </c>
      <c r="F1955" s="33">
        <v>7695795893</v>
      </c>
      <c r="G1955" s="33">
        <v>1111556026.9100001</v>
      </c>
      <c r="H1955" s="33" t="s">
        <v>76</v>
      </c>
      <c r="I1955" s="32">
        <v>1111556026.9100001</v>
      </c>
      <c r="J1955" s="32">
        <v>8807351919.9099998</v>
      </c>
    </row>
    <row r="1956" spans="1:10">
      <c r="A1956" s="4">
        <v>45785</v>
      </c>
      <c r="B1956" s="32"/>
      <c r="C1956" s="32"/>
      <c r="D1956" s="33">
        <v>4512815009</v>
      </c>
      <c r="E1956" s="33">
        <v>327600</v>
      </c>
      <c r="F1956" s="33">
        <v>4513142609</v>
      </c>
      <c r="G1956" s="33">
        <v>259162146</v>
      </c>
      <c r="H1956" s="33" t="s">
        <v>76</v>
      </c>
      <c r="I1956" s="32">
        <v>259162146</v>
      </c>
      <c r="J1956" s="32">
        <v>4772304755</v>
      </c>
    </row>
    <row r="1957" spans="1:10">
      <c r="A1957" s="4">
        <v>45786</v>
      </c>
      <c r="B1957" s="32"/>
      <c r="C1957" s="32"/>
      <c r="D1957" s="33">
        <v>11414021549</v>
      </c>
      <c r="E1957" s="33" t="s">
        <v>79</v>
      </c>
      <c r="F1957" s="33">
        <v>11414021549</v>
      </c>
      <c r="G1957" s="33">
        <v>362297787</v>
      </c>
      <c r="H1957" s="33">
        <v>100000000</v>
      </c>
      <c r="I1957" s="32">
        <v>462297787</v>
      </c>
      <c r="J1957" s="32">
        <v>11876319336</v>
      </c>
    </row>
    <row r="1958" spans="1:10">
      <c r="A1958" s="4">
        <v>45787</v>
      </c>
      <c r="B1958" s="32"/>
      <c r="C1958" s="32"/>
      <c r="D1958" s="33" t="s">
        <v>78</v>
      </c>
      <c r="E1958" s="33" t="s">
        <v>77</v>
      </c>
      <c r="F1958" s="33" t="s">
        <v>82</v>
      </c>
      <c r="G1958" s="33">
        <v>170721783</v>
      </c>
      <c r="H1958" s="33" t="s">
        <v>76</v>
      </c>
      <c r="I1958" s="32">
        <v>170721783</v>
      </c>
      <c r="J1958" s="32">
        <v>170721783</v>
      </c>
    </row>
    <row r="1959" spans="1:10">
      <c r="A1959" s="4">
        <v>45788</v>
      </c>
      <c r="B1959" s="32"/>
      <c r="C1959" s="32"/>
      <c r="D1959" s="33" t="s">
        <v>78</v>
      </c>
      <c r="E1959" s="33" t="s">
        <v>77</v>
      </c>
      <c r="F1959" s="33" t="s">
        <v>46</v>
      </c>
      <c r="G1959" s="33">
        <v>7398147</v>
      </c>
      <c r="H1959" s="33" t="s">
        <v>76</v>
      </c>
      <c r="I1959" s="32">
        <v>7398147</v>
      </c>
      <c r="J1959" s="32">
        <v>7398147</v>
      </c>
    </row>
    <row r="1960" spans="1:10">
      <c r="A1960" s="4">
        <v>45789</v>
      </c>
      <c r="B1960" s="32"/>
      <c r="C1960" s="32"/>
      <c r="D1960" s="33" t="s">
        <v>78</v>
      </c>
      <c r="E1960" s="33" t="s">
        <v>77</v>
      </c>
      <c r="F1960" s="33" t="s">
        <v>46</v>
      </c>
      <c r="G1960" s="33">
        <v>502350</v>
      </c>
      <c r="H1960" s="33" t="s">
        <v>76</v>
      </c>
      <c r="I1960" s="32">
        <v>502350</v>
      </c>
      <c r="J1960" s="32">
        <v>502350</v>
      </c>
    </row>
    <row r="1961" spans="1:10" ht="30.75">
      <c r="A1961" s="4">
        <v>45790</v>
      </c>
      <c r="B1961" s="32"/>
      <c r="C1961" s="32"/>
      <c r="D1961" s="33" t="s">
        <v>78</v>
      </c>
      <c r="E1961" s="33" t="s">
        <v>77</v>
      </c>
      <c r="F1961" s="33" t="s">
        <v>46</v>
      </c>
      <c r="G1961" s="33" t="s">
        <v>81</v>
      </c>
      <c r="H1961" s="33" t="s">
        <v>76</v>
      </c>
      <c r="I1961" s="32" t="s">
        <v>46</v>
      </c>
      <c r="J1961" s="32" t="s">
        <v>46</v>
      </c>
    </row>
    <row r="1962" spans="1:10">
      <c r="A1962" s="4">
        <v>45791</v>
      </c>
      <c r="B1962" s="32"/>
      <c r="C1962" s="32"/>
      <c r="D1962" s="33">
        <v>9015094939.0699997</v>
      </c>
      <c r="E1962" s="33" t="s">
        <v>77</v>
      </c>
      <c r="F1962" s="33">
        <v>9015094939.0699997</v>
      </c>
      <c r="G1962" s="33">
        <v>368892084</v>
      </c>
      <c r="H1962" s="33" t="s">
        <v>76</v>
      </c>
      <c r="I1962" s="32">
        <v>368892084</v>
      </c>
      <c r="J1962" s="32">
        <v>9383987023.0699997</v>
      </c>
    </row>
    <row r="1963" spans="1:10">
      <c r="A1963" s="4">
        <v>45792</v>
      </c>
      <c r="B1963" s="32"/>
      <c r="C1963" s="32"/>
      <c r="D1963" s="33">
        <v>9571871971.5</v>
      </c>
      <c r="E1963" s="33" t="s">
        <v>77</v>
      </c>
      <c r="F1963" s="33">
        <v>9571871971.5</v>
      </c>
      <c r="G1963" s="33">
        <v>306080658</v>
      </c>
      <c r="H1963" s="33" t="s">
        <v>76</v>
      </c>
      <c r="I1963" s="32">
        <v>306080658</v>
      </c>
      <c r="J1963" s="32">
        <v>9877952629.5</v>
      </c>
    </row>
    <row r="1964" spans="1:10">
      <c r="A1964" s="4">
        <v>45793</v>
      </c>
      <c r="B1964" s="32"/>
      <c r="C1964" s="32"/>
      <c r="D1964" s="33">
        <v>14037278526.049999</v>
      </c>
      <c r="E1964" s="33">
        <v>1100</v>
      </c>
      <c r="F1964" s="33">
        <v>14037279626.049999</v>
      </c>
      <c r="G1964" s="33">
        <v>463234168</v>
      </c>
      <c r="H1964" s="33">
        <v>100000000</v>
      </c>
      <c r="I1964" s="32">
        <v>563234168</v>
      </c>
      <c r="J1964" s="32">
        <v>14600513794.049999</v>
      </c>
    </row>
    <row r="1965" spans="1:10">
      <c r="A1965" s="4">
        <v>45794</v>
      </c>
      <c r="B1965" s="32"/>
      <c r="C1965" s="32"/>
      <c r="D1965" s="33" t="s">
        <v>78</v>
      </c>
      <c r="E1965" s="33" t="s">
        <v>77</v>
      </c>
      <c r="F1965" s="33" t="s">
        <v>46</v>
      </c>
      <c r="G1965" s="33">
        <v>169286020</v>
      </c>
      <c r="H1965" s="33" t="s">
        <v>76</v>
      </c>
      <c r="I1965" s="32">
        <v>169286020</v>
      </c>
      <c r="J1965" s="32">
        <v>169286020</v>
      </c>
    </row>
    <row r="1966" spans="1:10">
      <c r="A1966" s="4">
        <v>45795</v>
      </c>
      <c r="B1966" s="32"/>
      <c r="C1966" s="32"/>
      <c r="D1966" s="33" t="s">
        <v>78</v>
      </c>
      <c r="E1966" s="33" t="s">
        <v>77</v>
      </c>
      <c r="F1966" s="33" t="s">
        <v>46</v>
      </c>
      <c r="G1966" s="33">
        <v>1483100</v>
      </c>
      <c r="H1966" s="33" t="s">
        <v>76</v>
      </c>
      <c r="I1966" s="32">
        <v>1483100</v>
      </c>
      <c r="J1966" s="32">
        <v>1483100</v>
      </c>
    </row>
    <row r="1967" spans="1:10">
      <c r="A1967" s="4">
        <v>45796</v>
      </c>
      <c r="B1967" s="32"/>
      <c r="C1967" s="32"/>
      <c r="D1967" s="33">
        <v>6642103075.8999996</v>
      </c>
      <c r="E1967" s="33" t="s">
        <v>77</v>
      </c>
      <c r="F1967" s="33">
        <v>6642103075.8999996</v>
      </c>
      <c r="G1967" s="33">
        <v>448145801</v>
      </c>
      <c r="H1967" s="33" t="s">
        <v>76</v>
      </c>
      <c r="I1967" s="32">
        <v>448145801</v>
      </c>
      <c r="J1967" s="32">
        <v>7090248876.8999996</v>
      </c>
    </row>
    <row r="1968" spans="1:10">
      <c r="A1968" s="4">
        <v>45797</v>
      </c>
      <c r="B1968" s="32"/>
      <c r="C1968" s="32"/>
      <c r="D1968" s="33">
        <v>14230033107</v>
      </c>
      <c r="E1968" s="33" t="s">
        <v>77</v>
      </c>
      <c r="F1968" s="33">
        <v>14230033107</v>
      </c>
      <c r="G1968" s="33">
        <v>204602589</v>
      </c>
      <c r="H1968" s="33" t="s">
        <v>76</v>
      </c>
      <c r="I1968" s="32">
        <v>204602589</v>
      </c>
      <c r="J1968" s="32">
        <v>14434635696</v>
      </c>
    </row>
    <row r="1969" spans="1:10">
      <c r="A1969" s="4">
        <v>45798</v>
      </c>
      <c r="B1969" s="32"/>
      <c r="C1969" s="32"/>
      <c r="D1969" s="33">
        <v>7252851908</v>
      </c>
      <c r="E1969" s="33">
        <v>15269</v>
      </c>
      <c r="F1969" s="33">
        <v>7252867177</v>
      </c>
      <c r="G1969" s="33">
        <v>227871028</v>
      </c>
      <c r="H1969" s="33" t="s">
        <v>76</v>
      </c>
      <c r="I1969" s="32">
        <v>227871028</v>
      </c>
      <c r="J1969" s="32">
        <v>7480738205</v>
      </c>
    </row>
    <row r="1970" spans="1:10">
      <c r="A1970" s="4">
        <v>45799</v>
      </c>
      <c r="B1970" s="32"/>
      <c r="C1970" s="32"/>
      <c r="D1970" s="33">
        <v>6107983320</v>
      </c>
      <c r="E1970" s="33" t="s">
        <v>77</v>
      </c>
      <c r="F1970" s="33">
        <v>6107983320</v>
      </c>
      <c r="G1970" s="33">
        <v>311802370</v>
      </c>
      <c r="H1970" s="33" t="s">
        <v>76</v>
      </c>
      <c r="I1970" s="32">
        <v>311802370</v>
      </c>
      <c r="J1970" s="32">
        <v>6419785690</v>
      </c>
    </row>
    <row r="1971" spans="1:10">
      <c r="A1971" s="4">
        <v>45800</v>
      </c>
      <c r="B1971" s="32"/>
      <c r="C1971" s="32"/>
      <c r="D1971" s="33">
        <v>6866051335.1999998</v>
      </c>
      <c r="E1971" s="33">
        <v>1372000</v>
      </c>
      <c r="F1971" s="33">
        <v>6867423335.1999998</v>
      </c>
      <c r="G1971" s="33">
        <v>182742340</v>
      </c>
      <c r="H1971" s="33">
        <v>100000000</v>
      </c>
      <c r="I1971" s="32">
        <v>282742340</v>
      </c>
      <c r="J1971" s="32">
        <v>7150165675.1999998</v>
      </c>
    </row>
    <row r="1972" spans="1:10">
      <c r="A1972" s="4">
        <v>45801</v>
      </c>
      <c r="B1972" s="32"/>
      <c r="C1972" s="32"/>
      <c r="D1972" s="33" t="s">
        <v>78</v>
      </c>
      <c r="E1972" s="33" t="s">
        <v>77</v>
      </c>
      <c r="F1972" s="33" t="s">
        <v>46</v>
      </c>
      <c r="G1972" s="33">
        <v>2720157</v>
      </c>
      <c r="H1972" s="33" t="s">
        <v>76</v>
      </c>
      <c r="I1972" s="32">
        <v>2720157</v>
      </c>
      <c r="J1972" s="32">
        <v>2720157</v>
      </c>
    </row>
    <row r="1973" spans="1:10">
      <c r="A1973" s="4">
        <v>45802</v>
      </c>
      <c r="B1973" s="32"/>
      <c r="C1973" s="32"/>
      <c r="D1973" s="33" t="s">
        <v>78</v>
      </c>
      <c r="E1973" s="33" t="s">
        <v>77</v>
      </c>
      <c r="F1973" s="33" t="s">
        <v>46</v>
      </c>
      <c r="G1973" s="33">
        <v>166399887</v>
      </c>
      <c r="H1973" s="33" t="s">
        <v>76</v>
      </c>
      <c r="I1973" s="32">
        <v>166399887</v>
      </c>
      <c r="J1973" s="32">
        <v>166399887</v>
      </c>
    </row>
    <row r="1974" spans="1:10">
      <c r="A1974" s="4">
        <v>45803</v>
      </c>
      <c r="B1974" s="32"/>
      <c r="C1974" s="32"/>
      <c r="D1974" s="33">
        <v>11921616542</v>
      </c>
      <c r="E1974" s="33">
        <v>7933.24</v>
      </c>
      <c r="F1974" s="33">
        <v>11921624475.24</v>
      </c>
      <c r="G1974" s="33">
        <v>238574859</v>
      </c>
      <c r="H1974" s="33" t="s">
        <v>76</v>
      </c>
      <c r="I1974" s="32">
        <v>238574859</v>
      </c>
      <c r="J1974" s="32">
        <v>12160199334.24</v>
      </c>
    </row>
    <row r="1975" spans="1:10">
      <c r="A1975" s="4">
        <v>45804</v>
      </c>
      <c r="B1975" s="32"/>
      <c r="C1975" s="32"/>
      <c r="D1975" s="33">
        <v>12523280808.6</v>
      </c>
      <c r="E1975" s="33">
        <v>109595.25</v>
      </c>
      <c r="F1975" s="33">
        <v>12523390403.85</v>
      </c>
      <c r="G1975" s="33">
        <v>252748045</v>
      </c>
      <c r="H1975" s="33" t="s">
        <v>76</v>
      </c>
      <c r="I1975" s="32">
        <v>252748045</v>
      </c>
      <c r="J1975" s="32">
        <v>12776138448.85</v>
      </c>
    </row>
    <row r="1976" spans="1:10">
      <c r="A1976" s="4">
        <v>45805</v>
      </c>
      <c r="B1976" s="32"/>
      <c r="C1976" s="32"/>
      <c r="D1976" s="33">
        <v>4993980803</v>
      </c>
      <c r="E1976" s="33" t="s">
        <v>79</v>
      </c>
      <c r="F1976" s="33">
        <v>4993980803</v>
      </c>
      <c r="G1976" s="33">
        <v>197535103</v>
      </c>
      <c r="H1976" s="33" t="s">
        <v>50</v>
      </c>
      <c r="I1976" s="32">
        <v>197535103</v>
      </c>
      <c r="J1976" s="32">
        <v>5191515906</v>
      </c>
    </row>
    <row r="1977" spans="1:10">
      <c r="A1977" s="4">
        <v>45806</v>
      </c>
      <c r="B1977" s="32"/>
      <c r="C1977" s="32"/>
      <c r="D1977" s="33">
        <v>4933052134</v>
      </c>
      <c r="E1977" s="33">
        <v>2000000</v>
      </c>
      <c r="F1977" s="33">
        <v>4935052134</v>
      </c>
      <c r="G1977" s="33">
        <v>297821497</v>
      </c>
      <c r="H1977" s="33" t="s">
        <v>50</v>
      </c>
      <c r="I1977" s="32">
        <v>297821497</v>
      </c>
      <c r="J1977" s="32">
        <v>5232873631</v>
      </c>
    </row>
    <row r="1978" spans="1:10">
      <c r="A1978" s="4">
        <v>45807</v>
      </c>
      <c r="B1978" s="32"/>
      <c r="C1978" s="32"/>
      <c r="D1978" s="33">
        <v>3488812017.8000002</v>
      </c>
      <c r="E1978" s="33">
        <v>2288956773.98</v>
      </c>
      <c r="F1978" s="33">
        <v>5777768791.7799997</v>
      </c>
      <c r="G1978" s="33">
        <v>139543000</v>
      </c>
      <c r="H1978" s="33">
        <v>100000000</v>
      </c>
      <c r="I1978" s="32">
        <v>239543000</v>
      </c>
      <c r="J1978" s="32">
        <v>6017311791.7799997</v>
      </c>
    </row>
    <row r="1979" spans="1:10" ht="30.75">
      <c r="A1979" s="4">
        <v>45808</v>
      </c>
      <c r="B1979" s="32"/>
      <c r="C1979" s="32"/>
      <c r="D1979" s="33" t="s">
        <v>82</v>
      </c>
      <c r="E1979" s="33" t="s">
        <v>79</v>
      </c>
      <c r="F1979" s="33" t="s">
        <v>82</v>
      </c>
      <c r="G1979" s="33">
        <v>175422152</v>
      </c>
      <c r="H1979" s="33" t="s">
        <v>50</v>
      </c>
      <c r="I1979" s="32">
        <v>175422152</v>
      </c>
      <c r="J1979" s="32">
        <v>175422152</v>
      </c>
    </row>
    <row r="1980" spans="1:10">
      <c r="A1980" s="4">
        <v>45809</v>
      </c>
      <c r="B1980" s="32"/>
      <c r="C1980" s="33"/>
      <c r="D1980" s="33"/>
      <c r="E1980" s="33" t="s">
        <v>77</v>
      </c>
      <c r="F1980" s="33" t="s">
        <v>46</v>
      </c>
      <c r="G1980" s="33">
        <v>1467050</v>
      </c>
      <c r="H1980" s="33" t="s">
        <v>76</v>
      </c>
      <c r="I1980" s="32">
        <v>1467050</v>
      </c>
      <c r="J1980" s="33">
        <v>1467050</v>
      </c>
    </row>
    <row r="1981" spans="1:10">
      <c r="A1981" s="4">
        <v>45810</v>
      </c>
      <c r="B1981" s="32"/>
      <c r="C1981" s="33"/>
      <c r="D1981" s="33">
        <v>9120613794.0799999</v>
      </c>
      <c r="E1981" s="33">
        <v>515407</v>
      </c>
      <c r="F1981" s="33">
        <v>9121129201.0799999</v>
      </c>
      <c r="G1981" s="33">
        <v>366168881</v>
      </c>
      <c r="H1981" s="33" t="s">
        <v>76</v>
      </c>
      <c r="I1981" s="32">
        <v>366168881</v>
      </c>
      <c r="J1981" s="33">
        <v>9487298082.0799999</v>
      </c>
    </row>
    <row r="1982" spans="1:10">
      <c r="A1982" s="4">
        <v>45811</v>
      </c>
      <c r="B1982" s="32"/>
      <c r="C1982" s="33"/>
      <c r="D1982" s="33">
        <v>6217820472</v>
      </c>
      <c r="E1982" s="33" t="s">
        <v>77</v>
      </c>
      <c r="F1982" s="33">
        <v>6217820472</v>
      </c>
      <c r="G1982" s="33">
        <v>1541384517</v>
      </c>
      <c r="H1982" s="33" t="s">
        <v>76</v>
      </c>
      <c r="I1982" s="32">
        <v>1541384517</v>
      </c>
      <c r="J1982" s="33">
        <v>7759204989</v>
      </c>
    </row>
    <row r="1983" spans="1:10">
      <c r="A1983" s="4">
        <v>45812</v>
      </c>
      <c r="B1983" s="32"/>
      <c r="C1983" s="33"/>
      <c r="D1983" s="33">
        <v>5852711202.1800003</v>
      </c>
      <c r="E1983" s="33">
        <v>2701.78</v>
      </c>
      <c r="F1983" s="33">
        <v>5852713903.96</v>
      </c>
      <c r="G1983" s="33">
        <v>665278270</v>
      </c>
      <c r="H1983" s="33" t="s">
        <v>76</v>
      </c>
      <c r="I1983" s="32">
        <v>665278270</v>
      </c>
      <c r="J1983" s="33">
        <v>6517992173.96</v>
      </c>
    </row>
    <row r="1984" spans="1:10">
      <c r="A1984" s="4">
        <v>45813</v>
      </c>
      <c r="B1984" s="32"/>
      <c r="C1984" s="33"/>
      <c r="D1984" s="33">
        <v>10249888786.4</v>
      </c>
      <c r="E1984" s="33" t="s">
        <v>77</v>
      </c>
      <c r="F1984" s="33">
        <v>10249888786.4</v>
      </c>
      <c r="G1984" s="33">
        <v>151787196</v>
      </c>
      <c r="H1984" s="33" t="s">
        <v>76</v>
      </c>
      <c r="I1984" s="32">
        <v>151787196</v>
      </c>
      <c r="J1984" s="33">
        <v>10401675982.4</v>
      </c>
    </row>
    <row r="1985" spans="1:10">
      <c r="A1985" s="4">
        <v>45814</v>
      </c>
      <c r="B1985" s="32"/>
      <c r="C1985" s="33"/>
      <c r="D1985" s="33">
        <v>4809060726</v>
      </c>
      <c r="E1985" s="33">
        <v>3590382.5</v>
      </c>
      <c r="F1985" s="33">
        <v>4812651108.5</v>
      </c>
      <c r="G1985" s="33">
        <v>1988449348</v>
      </c>
      <c r="H1985" s="33" t="s">
        <v>76</v>
      </c>
      <c r="I1985" s="32">
        <v>1988449348</v>
      </c>
      <c r="J1985" s="33">
        <v>6801100456.5</v>
      </c>
    </row>
    <row r="1986" spans="1:10">
      <c r="A1986" s="4">
        <v>45815</v>
      </c>
      <c r="B1986" s="32"/>
      <c r="C1986" s="33"/>
      <c r="D1986" s="33" t="s">
        <v>78</v>
      </c>
      <c r="E1986" s="33" t="s">
        <v>77</v>
      </c>
      <c r="F1986" s="33" t="s">
        <v>46</v>
      </c>
      <c r="G1986" s="33">
        <v>165165933</v>
      </c>
      <c r="H1986" s="33" t="s">
        <v>76</v>
      </c>
      <c r="I1986" s="32">
        <v>165165933</v>
      </c>
      <c r="J1986" s="33">
        <v>165165933</v>
      </c>
    </row>
    <row r="1987" spans="1:10">
      <c r="A1987" s="4">
        <v>45816</v>
      </c>
      <c r="B1987" s="32"/>
      <c r="C1987" s="33"/>
      <c r="D1987" s="33" t="s">
        <v>78</v>
      </c>
      <c r="E1987" s="33" t="s">
        <v>77</v>
      </c>
      <c r="F1987" s="33" t="s">
        <v>46</v>
      </c>
      <c r="G1987" s="33" t="s">
        <v>46</v>
      </c>
      <c r="H1987" s="33" t="s">
        <v>76</v>
      </c>
      <c r="I1987" s="32" t="s">
        <v>46</v>
      </c>
      <c r="J1987" s="33" t="s">
        <v>46</v>
      </c>
    </row>
    <row r="1988" spans="1:10">
      <c r="A1988" s="4">
        <v>45817</v>
      </c>
      <c r="B1988" s="32"/>
      <c r="C1988" s="33"/>
      <c r="D1988" s="33">
        <v>13412593749</v>
      </c>
      <c r="E1988" s="33" t="s">
        <v>79</v>
      </c>
      <c r="F1988" s="33">
        <v>13412593749</v>
      </c>
      <c r="G1988" s="33">
        <v>320801835</v>
      </c>
      <c r="H1988" s="33" t="s">
        <v>50</v>
      </c>
      <c r="I1988" s="32">
        <v>320801835</v>
      </c>
      <c r="J1988" s="33">
        <v>13733395584</v>
      </c>
    </row>
    <row r="1989" spans="1:10" ht="30.75">
      <c r="A1989" s="4">
        <v>45818</v>
      </c>
      <c r="B1989" s="32"/>
      <c r="C1989" s="33"/>
      <c r="D1989" s="33" t="s">
        <v>78</v>
      </c>
      <c r="E1989" s="33" t="s">
        <v>77</v>
      </c>
      <c r="F1989" s="33" t="s">
        <v>82</v>
      </c>
      <c r="G1989" s="33" t="s">
        <v>46</v>
      </c>
      <c r="H1989" s="33" t="s">
        <v>76</v>
      </c>
      <c r="I1989" s="32" t="s">
        <v>81</v>
      </c>
      <c r="J1989" s="33" t="s">
        <v>82</v>
      </c>
    </row>
    <row r="1990" spans="1:10">
      <c r="A1990" s="4">
        <v>45819</v>
      </c>
      <c r="B1990" s="32"/>
      <c r="C1990" s="33"/>
      <c r="D1990" s="33">
        <v>7978302052</v>
      </c>
      <c r="E1990" s="33">
        <v>92440</v>
      </c>
      <c r="F1990" s="33">
        <v>7978394492</v>
      </c>
      <c r="G1990" s="33">
        <v>216019940</v>
      </c>
      <c r="H1990" s="33" t="s">
        <v>76</v>
      </c>
      <c r="I1990" s="32">
        <v>216019940</v>
      </c>
      <c r="J1990" s="33">
        <v>8194414432</v>
      </c>
    </row>
    <row r="1991" spans="1:10">
      <c r="A1991" s="4">
        <v>45820</v>
      </c>
      <c r="B1991" s="32"/>
      <c r="C1991" s="33"/>
      <c r="D1991" s="33">
        <v>7621847641.1999998</v>
      </c>
      <c r="E1991" s="33" t="s">
        <v>77</v>
      </c>
      <c r="F1991" s="33">
        <v>7621847641.1999998</v>
      </c>
      <c r="G1991" s="33">
        <v>255365759</v>
      </c>
      <c r="H1991" s="33" t="s">
        <v>76</v>
      </c>
      <c r="I1991" s="32">
        <v>255365759</v>
      </c>
      <c r="J1991" s="33">
        <v>7877213400.1999998</v>
      </c>
    </row>
    <row r="1992" spans="1:10">
      <c r="A1992" s="4">
        <v>45821</v>
      </c>
      <c r="B1992" s="32"/>
      <c r="C1992" s="33">
        <v>2027148085.23</v>
      </c>
      <c r="D1992" s="33">
        <v>11896554151.77</v>
      </c>
      <c r="E1992" s="33">
        <v>6229500</v>
      </c>
      <c r="F1992" s="33">
        <v>11902783651.77</v>
      </c>
      <c r="G1992" s="33">
        <v>437521116</v>
      </c>
      <c r="H1992" s="33">
        <v>100000000</v>
      </c>
      <c r="I1992" s="32">
        <v>537521116</v>
      </c>
      <c r="J1992" s="33">
        <v>12440304767.77</v>
      </c>
    </row>
    <row r="1993" spans="1:10">
      <c r="A1993" s="4">
        <v>45822</v>
      </c>
      <c r="B1993" s="32"/>
      <c r="C1993" s="33"/>
      <c r="D1993" s="33" t="s">
        <v>78</v>
      </c>
      <c r="E1993" s="33" t="s">
        <v>77</v>
      </c>
      <c r="F1993" s="33" t="s">
        <v>46</v>
      </c>
      <c r="G1993" s="33">
        <v>4767196</v>
      </c>
      <c r="H1993" s="33" t="s">
        <v>76</v>
      </c>
      <c r="I1993" s="32">
        <v>4767196</v>
      </c>
      <c r="J1993" s="33">
        <v>4767196</v>
      </c>
    </row>
    <row r="1994" spans="1:10">
      <c r="A1994" s="4">
        <v>45823</v>
      </c>
      <c r="B1994" s="32"/>
      <c r="C1994" s="33"/>
      <c r="D1994" s="33" t="s">
        <v>78</v>
      </c>
      <c r="E1994" s="33" t="s">
        <v>77</v>
      </c>
      <c r="F1994" s="33" t="s">
        <v>46</v>
      </c>
      <c r="G1994" s="33">
        <v>1100</v>
      </c>
      <c r="H1994" s="33" t="s">
        <v>76</v>
      </c>
      <c r="I1994" s="32">
        <v>1100</v>
      </c>
      <c r="J1994" s="33">
        <v>1100</v>
      </c>
    </row>
    <row r="1995" spans="1:10">
      <c r="A1995" s="4">
        <v>45824</v>
      </c>
      <c r="B1995" s="32"/>
      <c r="C1995" s="33"/>
      <c r="D1995" s="33">
        <v>14752755295</v>
      </c>
      <c r="E1995" s="33" t="s">
        <v>77</v>
      </c>
      <c r="F1995" s="33">
        <v>14752755295</v>
      </c>
      <c r="G1995" s="33">
        <v>383706325</v>
      </c>
      <c r="H1995" s="33" t="s">
        <v>76</v>
      </c>
      <c r="I1995" s="32">
        <v>383706325</v>
      </c>
      <c r="J1995" s="33">
        <v>15136461620</v>
      </c>
    </row>
    <row r="1996" spans="1:10">
      <c r="A1996" s="4">
        <v>45825</v>
      </c>
      <c r="B1996" s="32"/>
      <c r="C1996" s="33"/>
      <c r="D1996" s="33">
        <v>7667863034</v>
      </c>
      <c r="E1996" s="33" t="s">
        <v>77</v>
      </c>
      <c r="F1996" s="33">
        <v>7667863034</v>
      </c>
      <c r="G1996" s="33">
        <v>594906876</v>
      </c>
      <c r="H1996" s="33" t="s">
        <v>76</v>
      </c>
      <c r="I1996" s="32">
        <v>594906876</v>
      </c>
      <c r="J1996" s="33">
        <v>8262769910</v>
      </c>
    </row>
    <row r="1997" spans="1:10">
      <c r="A1997" s="4">
        <v>45826</v>
      </c>
      <c r="B1997" s="32"/>
      <c r="C1997" s="33"/>
      <c r="D1997" s="33">
        <v>8378782562</v>
      </c>
      <c r="E1997" s="33" t="s">
        <v>77</v>
      </c>
      <c r="F1997" s="33">
        <v>8378782562</v>
      </c>
      <c r="G1997" s="33">
        <v>573764294</v>
      </c>
      <c r="H1997" s="33" t="s">
        <v>76</v>
      </c>
      <c r="I1997" s="32">
        <v>573764294</v>
      </c>
      <c r="J1997" s="33">
        <v>8952546856</v>
      </c>
    </row>
    <row r="1998" spans="1:10">
      <c r="A1998" s="4">
        <v>45827</v>
      </c>
      <c r="B1998" s="32"/>
      <c r="C1998" s="33"/>
      <c r="D1998" s="33">
        <v>8610342330</v>
      </c>
      <c r="E1998" s="33">
        <v>2200</v>
      </c>
      <c r="F1998" s="33">
        <v>8610344530</v>
      </c>
      <c r="G1998" s="33">
        <v>671207054</v>
      </c>
      <c r="H1998" s="33" t="s">
        <v>76</v>
      </c>
      <c r="I1998" s="32">
        <v>671207054</v>
      </c>
      <c r="J1998" s="33">
        <v>9281551584</v>
      </c>
    </row>
    <row r="1999" spans="1:10">
      <c r="A1999" s="4">
        <v>45828</v>
      </c>
      <c r="B1999" s="32"/>
      <c r="C1999" s="33">
        <v>1738576608.72</v>
      </c>
      <c r="D1999" s="33">
        <v>4321180000.2799997</v>
      </c>
      <c r="E1999" s="33" t="s">
        <v>77</v>
      </c>
      <c r="F1999" s="33">
        <v>4321180000.2799997</v>
      </c>
      <c r="G1999" s="33">
        <v>438488515</v>
      </c>
      <c r="H1999" s="33">
        <v>100000000</v>
      </c>
      <c r="I1999" s="32">
        <v>538488515</v>
      </c>
      <c r="J1999" s="33">
        <v>4859668515.2799997</v>
      </c>
    </row>
    <row r="2000" spans="1:10">
      <c r="A2000" s="4">
        <v>45829</v>
      </c>
      <c r="B2000" s="32"/>
      <c r="C2000" s="33"/>
      <c r="D2000" s="33" t="s">
        <v>78</v>
      </c>
      <c r="E2000" s="33" t="s">
        <v>77</v>
      </c>
      <c r="F2000" s="33" t="s">
        <v>46</v>
      </c>
      <c r="G2000" s="33">
        <v>25640726</v>
      </c>
      <c r="H2000" s="33" t="s">
        <v>76</v>
      </c>
      <c r="I2000" s="32">
        <v>25640726</v>
      </c>
      <c r="J2000" s="33">
        <v>25640726</v>
      </c>
    </row>
    <row r="2001" spans="1:10">
      <c r="A2001" s="4">
        <v>45830</v>
      </c>
      <c r="B2001" s="32"/>
      <c r="C2001" s="33"/>
      <c r="D2001" s="33" t="s">
        <v>78</v>
      </c>
      <c r="E2001" s="33" t="s">
        <v>77</v>
      </c>
      <c r="F2001" s="33" t="s">
        <v>46</v>
      </c>
      <c r="G2001" s="33">
        <v>22000</v>
      </c>
      <c r="H2001" s="33" t="s">
        <v>76</v>
      </c>
      <c r="I2001" s="32">
        <v>22000</v>
      </c>
      <c r="J2001" s="33">
        <v>22000</v>
      </c>
    </row>
    <row r="2002" spans="1:10">
      <c r="A2002" s="4">
        <v>45831</v>
      </c>
      <c r="B2002" s="32"/>
      <c r="C2002" s="33"/>
      <c r="D2002" s="33">
        <v>5823232557.46</v>
      </c>
      <c r="E2002" s="33" t="s">
        <v>77</v>
      </c>
      <c r="F2002" s="33">
        <v>5823232557.46</v>
      </c>
      <c r="G2002" s="33">
        <v>485664055</v>
      </c>
      <c r="H2002" s="33"/>
      <c r="I2002" s="32">
        <v>485664055</v>
      </c>
      <c r="J2002" s="33">
        <v>6308896612.46</v>
      </c>
    </row>
    <row r="2003" spans="1:10">
      <c r="A2003" s="4">
        <v>45832</v>
      </c>
      <c r="B2003" s="32"/>
      <c r="C2003" s="33"/>
      <c r="D2003" s="33">
        <v>17011365601</v>
      </c>
      <c r="E2003" s="33" t="s">
        <v>77</v>
      </c>
      <c r="F2003" s="33">
        <v>17011365601</v>
      </c>
      <c r="G2003" s="33">
        <v>294298356</v>
      </c>
      <c r="H2003" s="33" t="s">
        <v>76</v>
      </c>
      <c r="I2003" s="32">
        <v>294298356</v>
      </c>
      <c r="J2003" s="33">
        <v>17305663957</v>
      </c>
    </row>
    <row r="2004" spans="1:10">
      <c r="A2004" s="4">
        <v>45833</v>
      </c>
      <c r="B2004" s="32"/>
      <c r="C2004" s="33"/>
      <c r="D2004" s="33">
        <v>7503252845</v>
      </c>
      <c r="E2004" s="33"/>
      <c r="F2004" s="33">
        <v>7503252845</v>
      </c>
      <c r="G2004" s="33">
        <v>169409484</v>
      </c>
      <c r="H2004" s="33" t="s">
        <v>76</v>
      </c>
      <c r="I2004" s="32">
        <v>169409484</v>
      </c>
      <c r="J2004" s="33">
        <v>7672662329</v>
      </c>
    </row>
    <row r="2005" spans="1:10">
      <c r="A2005" s="4">
        <v>45834</v>
      </c>
      <c r="B2005" s="32"/>
      <c r="C2005" s="33"/>
      <c r="D2005" s="33">
        <v>14396369555</v>
      </c>
      <c r="E2005" s="33" t="s">
        <v>77</v>
      </c>
      <c r="F2005" s="33">
        <v>14396369555</v>
      </c>
      <c r="G2005" s="33">
        <v>318590617</v>
      </c>
      <c r="H2005" s="33" t="s">
        <v>76</v>
      </c>
      <c r="I2005" s="32">
        <v>318590617</v>
      </c>
      <c r="J2005" s="33">
        <v>14714960172</v>
      </c>
    </row>
    <row r="2006" spans="1:10">
      <c r="A2006" s="4">
        <v>45835</v>
      </c>
      <c r="B2006" s="32"/>
      <c r="C2006" s="33"/>
      <c r="D2006" s="33">
        <v>5970079247</v>
      </c>
      <c r="E2006" s="33">
        <v>1100</v>
      </c>
      <c r="F2006" s="33">
        <v>5970080347</v>
      </c>
      <c r="G2006" s="33">
        <v>312414892</v>
      </c>
      <c r="H2006" s="33">
        <v>100000000</v>
      </c>
      <c r="I2006" s="32">
        <v>412414892</v>
      </c>
      <c r="J2006" s="33">
        <v>6382495239</v>
      </c>
    </row>
    <row r="2007" spans="1:10">
      <c r="A2007" s="4">
        <v>45836</v>
      </c>
      <c r="B2007" s="32"/>
      <c r="C2007" s="33"/>
      <c r="D2007" s="33"/>
      <c r="E2007" s="33"/>
      <c r="F2007" s="33" t="s">
        <v>82</v>
      </c>
      <c r="G2007" s="33">
        <v>182389774</v>
      </c>
      <c r="H2007" s="33" t="s">
        <v>50</v>
      </c>
      <c r="I2007" s="32">
        <v>182389774</v>
      </c>
      <c r="J2007" s="33">
        <v>182389774</v>
      </c>
    </row>
    <row r="2008" spans="1:10">
      <c r="A2008" s="4">
        <v>45837</v>
      </c>
      <c r="B2008" s="32"/>
      <c r="C2008" s="33"/>
      <c r="D2008" s="33"/>
      <c r="E2008" s="33"/>
      <c r="F2008" s="33" t="s">
        <v>82</v>
      </c>
      <c r="G2008" s="33">
        <v>5528920</v>
      </c>
      <c r="H2008" s="33"/>
      <c r="I2008" s="32">
        <v>5528920</v>
      </c>
      <c r="J2008" s="33">
        <v>5528920</v>
      </c>
    </row>
    <row r="2009" spans="1:10">
      <c r="A2009" s="4">
        <v>45838</v>
      </c>
      <c r="B2009" s="32"/>
      <c r="C2009" s="33"/>
      <c r="D2009" s="33">
        <v>5543113402.3400002</v>
      </c>
      <c r="E2009" s="33">
        <v>2414440968.2199998</v>
      </c>
      <c r="F2009" s="33">
        <v>7957554370.5600004</v>
      </c>
      <c r="G2009" s="33">
        <v>233001240</v>
      </c>
      <c r="H2009" s="33" t="s">
        <v>50</v>
      </c>
      <c r="I2009" s="32">
        <v>233001240</v>
      </c>
      <c r="J2009" s="33">
        <v>8190555610.5600004</v>
      </c>
    </row>
    <row r="2010" spans="1:10">
      <c r="A2010" s="4">
        <v>45839</v>
      </c>
      <c r="B2010" s="32"/>
      <c r="C2010" s="32"/>
      <c r="D2010" s="33">
        <v>5730043930</v>
      </c>
      <c r="E2010" s="33" t="s">
        <v>76</v>
      </c>
      <c r="F2010" s="33">
        <v>5730043930</v>
      </c>
      <c r="G2010" s="33">
        <v>220463539</v>
      </c>
      <c r="H2010" s="33" t="s">
        <v>76</v>
      </c>
      <c r="I2010" s="32">
        <v>220463539</v>
      </c>
      <c r="J2010" s="32">
        <v>5950507469</v>
      </c>
    </row>
    <row r="2011" spans="1:10">
      <c r="A2011" s="4">
        <v>45840</v>
      </c>
      <c r="B2011" s="32"/>
      <c r="C2011" s="32"/>
      <c r="D2011" s="33">
        <v>7073382881</v>
      </c>
      <c r="E2011" s="33" t="s">
        <v>76</v>
      </c>
      <c r="F2011" s="33">
        <v>7073382881</v>
      </c>
      <c r="G2011" s="33">
        <v>453735501</v>
      </c>
      <c r="H2011" s="33" t="s">
        <v>76</v>
      </c>
      <c r="I2011" s="32">
        <v>453735501</v>
      </c>
      <c r="J2011" s="32">
        <v>7527118382</v>
      </c>
    </row>
    <row r="2012" spans="1:10">
      <c r="A2012" s="4">
        <v>45841</v>
      </c>
      <c r="B2012" s="32"/>
      <c r="C2012" s="32"/>
      <c r="D2012" s="33">
        <v>8022951571</v>
      </c>
      <c r="E2012" s="33" t="s">
        <v>76</v>
      </c>
      <c r="F2012" s="33">
        <v>8022951571</v>
      </c>
      <c r="G2012" s="33">
        <v>319927291</v>
      </c>
      <c r="H2012" s="33" t="s">
        <v>76</v>
      </c>
      <c r="I2012" s="32">
        <v>319927291</v>
      </c>
      <c r="J2012" s="32">
        <v>8342878862</v>
      </c>
    </row>
    <row r="2013" spans="1:10">
      <c r="A2013" s="4">
        <v>45842</v>
      </c>
      <c r="B2013" s="32"/>
      <c r="C2013" s="32"/>
      <c r="D2013" s="33">
        <v>9608222514</v>
      </c>
      <c r="E2013" s="33">
        <v>3430000</v>
      </c>
      <c r="F2013" s="33">
        <v>9611652514</v>
      </c>
      <c r="G2013" s="33">
        <v>278055593</v>
      </c>
      <c r="H2013" s="33">
        <v>9333122400</v>
      </c>
      <c r="I2013" s="32">
        <v>9611177993</v>
      </c>
      <c r="J2013" s="32">
        <v>19222830507</v>
      </c>
    </row>
    <row r="2014" spans="1:10">
      <c r="A2014" s="4">
        <v>45843</v>
      </c>
      <c r="B2014" s="32"/>
      <c r="C2014" s="32"/>
      <c r="D2014" s="33"/>
      <c r="E2014" s="33"/>
      <c r="F2014" s="33" t="s">
        <v>46</v>
      </c>
      <c r="G2014" s="33">
        <v>181798755</v>
      </c>
      <c r="H2014" s="33" t="s">
        <v>76</v>
      </c>
      <c r="I2014" s="32">
        <v>181798755</v>
      </c>
      <c r="J2014" s="32">
        <v>181798755</v>
      </c>
    </row>
    <row r="2015" spans="1:10">
      <c r="A2015" s="4">
        <v>45844</v>
      </c>
      <c r="B2015" s="32"/>
      <c r="C2015" s="32"/>
      <c r="D2015" s="33"/>
      <c r="E2015" s="33"/>
      <c r="F2015" s="33" t="s">
        <v>46</v>
      </c>
      <c r="G2015" s="33">
        <v>7307900</v>
      </c>
      <c r="H2015" s="33" t="s">
        <v>76</v>
      </c>
      <c r="I2015" s="32">
        <v>7307900</v>
      </c>
      <c r="J2015" s="32">
        <v>7307900</v>
      </c>
    </row>
    <row r="2016" spans="1:10">
      <c r="A2016" s="4">
        <v>45845</v>
      </c>
      <c r="B2016" s="32"/>
      <c r="C2016" s="32"/>
      <c r="D2016" s="33">
        <v>10425098037</v>
      </c>
      <c r="E2016" s="33" t="s">
        <v>76</v>
      </c>
      <c r="F2016" s="33">
        <v>10425098037</v>
      </c>
      <c r="G2016" s="33">
        <v>2486289600</v>
      </c>
      <c r="H2016" s="33" t="s">
        <v>76</v>
      </c>
      <c r="I2016" s="32">
        <v>2486289600</v>
      </c>
      <c r="J2016" s="32">
        <v>12911387637</v>
      </c>
    </row>
    <row r="2017" spans="1:10">
      <c r="A2017" s="4">
        <v>45846</v>
      </c>
      <c r="B2017" s="32"/>
      <c r="C2017" s="32"/>
      <c r="D2017" s="33">
        <v>13315169908</v>
      </c>
      <c r="E2017" s="33">
        <v>2000000</v>
      </c>
      <c r="F2017" s="33">
        <v>13317169908</v>
      </c>
      <c r="G2017" s="33">
        <v>340666006</v>
      </c>
      <c r="H2017" s="33" t="s">
        <v>76</v>
      </c>
      <c r="I2017" s="32">
        <v>340666006</v>
      </c>
      <c r="J2017" s="32">
        <v>13657835914</v>
      </c>
    </row>
    <row r="2018" spans="1:10">
      <c r="A2018" s="4">
        <v>45847</v>
      </c>
      <c r="B2018" s="32"/>
      <c r="C2018" s="32"/>
      <c r="D2018" s="33">
        <v>12815622718.799999</v>
      </c>
      <c r="E2018" s="33"/>
      <c r="F2018" s="33">
        <v>12815622718.799999</v>
      </c>
      <c r="G2018" s="33">
        <v>3263555768</v>
      </c>
      <c r="H2018" s="33"/>
      <c r="I2018" s="32">
        <v>3263555768</v>
      </c>
      <c r="J2018" s="32">
        <v>16079178486.799999</v>
      </c>
    </row>
    <row r="2019" spans="1:10">
      <c r="A2019" s="4">
        <v>45848</v>
      </c>
      <c r="B2019" s="32"/>
      <c r="C2019" s="32"/>
      <c r="D2019" s="33"/>
      <c r="E2019" s="33"/>
      <c r="F2019" s="33" t="s">
        <v>82</v>
      </c>
      <c r="G2019" s="33">
        <v>6074695</v>
      </c>
      <c r="H2019" s="33"/>
      <c r="I2019" s="32">
        <v>6074695</v>
      </c>
      <c r="J2019" s="32">
        <v>6074695</v>
      </c>
    </row>
    <row r="2020" spans="1:10">
      <c r="A2020" s="4">
        <v>45849</v>
      </c>
      <c r="B2020" s="32"/>
      <c r="C2020" s="32"/>
      <c r="D2020" s="33">
        <v>8211182132</v>
      </c>
      <c r="E2020" s="33" t="s">
        <v>76</v>
      </c>
      <c r="F2020" s="33">
        <v>8211182132</v>
      </c>
      <c r="G2020" s="33">
        <v>451342753</v>
      </c>
      <c r="H2020" s="33">
        <v>100000000</v>
      </c>
      <c r="I2020" s="32">
        <v>551342753</v>
      </c>
      <c r="J2020" s="32">
        <v>8762524885</v>
      </c>
    </row>
    <row r="2021" spans="1:10">
      <c r="A2021" s="4">
        <v>45850</v>
      </c>
      <c r="B2021" s="32"/>
      <c r="C2021" s="32"/>
      <c r="D2021" s="33" t="s">
        <v>78</v>
      </c>
      <c r="E2021" s="33" t="s">
        <v>76</v>
      </c>
      <c r="F2021" s="33" t="s">
        <v>46</v>
      </c>
      <c r="G2021" s="33">
        <v>178853525</v>
      </c>
      <c r="H2021" s="33" t="s">
        <v>76</v>
      </c>
      <c r="I2021" s="32">
        <v>178853525</v>
      </c>
      <c r="J2021" s="32">
        <v>178853525</v>
      </c>
    </row>
    <row r="2022" spans="1:10">
      <c r="A2022" s="4">
        <v>45851</v>
      </c>
      <c r="B2022" s="32"/>
      <c r="C2022" s="32"/>
      <c r="D2022" s="33" t="s">
        <v>78</v>
      </c>
      <c r="E2022" s="33" t="s">
        <v>76</v>
      </c>
      <c r="F2022" s="33" t="s">
        <v>46</v>
      </c>
      <c r="G2022" s="33">
        <v>1650</v>
      </c>
      <c r="H2022" s="33" t="s">
        <v>76</v>
      </c>
      <c r="I2022" s="32">
        <v>1650</v>
      </c>
      <c r="J2022" s="32">
        <v>1650</v>
      </c>
    </row>
    <row r="2023" spans="1:10">
      <c r="A2023" s="4">
        <v>45852</v>
      </c>
      <c r="B2023" s="32"/>
      <c r="C2023" s="32"/>
      <c r="D2023" s="33">
        <v>9014433195</v>
      </c>
      <c r="E2023" s="33">
        <v>974125</v>
      </c>
      <c r="F2023" s="33">
        <v>9015407320</v>
      </c>
      <c r="G2023" s="33">
        <v>257062532</v>
      </c>
      <c r="H2023" s="33" t="s">
        <v>76</v>
      </c>
      <c r="I2023" s="32">
        <v>257062532</v>
      </c>
      <c r="J2023" s="32">
        <v>9272469852</v>
      </c>
    </row>
    <row r="2024" spans="1:10">
      <c r="A2024" s="4">
        <v>45853</v>
      </c>
      <c r="B2024" s="32"/>
      <c r="C2024" s="32"/>
      <c r="D2024" s="33">
        <v>14818796648</v>
      </c>
      <c r="E2024" s="33" t="s">
        <v>76</v>
      </c>
      <c r="F2024" s="33">
        <v>14818796648</v>
      </c>
      <c r="G2024" s="33">
        <v>541284312</v>
      </c>
      <c r="H2024" s="33" t="s">
        <v>76</v>
      </c>
      <c r="I2024" s="32">
        <v>541284312</v>
      </c>
      <c r="J2024" s="32">
        <v>15360080960</v>
      </c>
    </row>
    <row r="2025" spans="1:10">
      <c r="A2025" s="4">
        <v>45854</v>
      </c>
      <c r="B2025" s="32"/>
      <c r="C2025" s="32"/>
      <c r="D2025" s="33">
        <v>12147410153</v>
      </c>
      <c r="E2025" s="33" t="s">
        <v>76</v>
      </c>
      <c r="F2025" s="33">
        <v>12147410153</v>
      </c>
      <c r="G2025" s="33">
        <v>494673661</v>
      </c>
      <c r="H2025" s="33" t="s">
        <v>76</v>
      </c>
      <c r="I2025" s="32">
        <v>494673661</v>
      </c>
      <c r="J2025" s="32">
        <v>12642083814</v>
      </c>
    </row>
    <row r="2026" spans="1:10">
      <c r="A2026" s="4">
        <v>45855</v>
      </c>
      <c r="B2026" s="32"/>
      <c r="C2026" s="32"/>
      <c r="D2026" s="33">
        <v>12983296951</v>
      </c>
      <c r="E2026" s="33" t="s">
        <v>76</v>
      </c>
      <c r="F2026" s="33">
        <v>12983296951</v>
      </c>
      <c r="G2026" s="33">
        <v>572791159</v>
      </c>
      <c r="H2026" s="33" t="s">
        <v>76</v>
      </c>
      <c r="I2026" s="32">
        <v>572791159</v>
      </c>
      <c r="J2026" s="32">
        <v>13556088110</v>
      </c>
    </row>
    <row r="2027" spans="1:10">
      <c r="A2027" s="4">
        <v>45856</v>
      </c>
      <c r="B2027" s="32"/>
      <c r="C2027" s="32"/>
      <c r="D2027" s="33">
        <v>4187518078.4400001</v>
      </c>
      <c r="E2027" s="33">
        <v>282393.96000000002</v>
      </c>
      <c r="F2027" s="33">
        <v>4187800472.4000001</v>
      </c>
      <c r="G2027" s="33">
        <v>420570196</v>
      </c>
      <c r="H2027" s="33">
        <v>100000000</v>
      </c>
      <c r="I2027" s="32">
        <v>520570196</v>
      </c>
      <c r="J2027" s="32">
        <v>4708370668.3999996</v>
      </c>
    </row>
    <row r="2028" spans="1:10">
      <c r="A2028" s="4">
        <v>45857</v>
      </c>
      <c r="B2028" s="32"/>
      <c r="C2028" s="32"/>
      <c r="D2028" s="33"/>
      <c r="E2028" s="33"/>
      <c r="F2028" s="33" t="s">
        <v>46</v>
      </c>
      <c r="G2028" s="33">
        <v>2123217</v>
      </c>
      <c r="H2028" s="33" t="s">
        <v>76</v>
      </c>
      <c r="I2028" s="32">
        <v>2123217</v>
      </c>
      <c r="J2028" s="32">
        <v>2123217</v>
      </c>
    </row>
    <row r="2029" spans="1:10">
      <c r="A2029" s="4">
        <v>45858</v>
      </c>
      <c r="B2029" s="32"/>
      <c r="C2029" s="32"/>
      <c r="D2029" s="33"/>
      <c r="E2029" s="33"/>
      <c r="F2029" s="33" t="s">
        <v>46</v>
      </c>
      <c r="G2029" s="33">
        <v>842750</v>
      </c>
      <c r="H2029" s="33" t="s">
        <v>76</v>
      </c>
      <c r="I2029" s="32">
        <v>842750</v>
      </c>
      <c r="J2029" s="32">
        <v>842750</v>
      </c>
    </row>
    <row r="2030" spans="1:10">
      <c r="A2030" s="4">
        <v>45859</v>
      </c>
      <c r="B2030" s="32"/>
      <c r="C2030" s="32"/>
      <c r="D2030" s="33">
        <v>13042736659</v>
      </c>
      <c r="E2030" s="33">
        <v>482900</v>
      </c>
      <c r="F2030" s="33">
        <v>13043219559</v>
      </c>
      <c r="G2030" s="33">
        <v>420446847</v>
      </c>
      <c r="H2030" s="33" t="s">
        <v>76</v>
      </c>
      <c r="I2030" s="32">
        <v>420446847</v>
      </c>
      <c r="J2030" s="32">
        <v>13463666406</v>
      </c>
    </row>
    <row r="2031" spans="1:10">
      <c r="A2031" s="4">
        <v>45860</v>
      </c>
      <c r="B2031" s="32"/>
      <c r="C2031" s="32"/>
      <c r="D2031" s="33">
        <v>7284468476</v>
      </c>
      <c r="E2031" s="33">
        <v>6292.92</v>
      </c>
      <c r="F2031" s="33">
        <v>7284474768.9200001</v>
      </c>
      <c r="G2031" s="33">
        <v>259113015</v>
      </c>
      <c r="H2031" s="33" t="s">
        <v>76</v>
      </c>
      <c r="I2031" s="32">
        <v>259113015</v>
      </c>
      <c r="J2031" s="32">
        <v>7543587783.9200001</v>
      </c>
    </row>
    <row r="2032" spans="1:10">
      <c r="A2032" s="4">
        <v>45861</v>
      </c>
      <c r="B2032" s="32"/>
      <c r="C2032" s="32"/>
      <c r="D2032" s="33">
        <v>6907964649.3000002</v>
      </c>
      <c r="E2032" s="33">
        <v>31363.200000000001</v>
      </c>
      <c r="F2032" s="33">
        <v>6907996012.5</v>
      </c>
      <c r="G2032" s="33">
        <v>425518452</v>
      </c>
      <c r="H2032" s="33" t="s">
        <v>76</v>
      </c>
      <c r="I2032" s="32">
        <v>425518452</v>
      </c>
      <c r="J2032" s="32">
        <v>7333514464.5</v>
      </c>
    </row>
    <row r="2033" spans="1:10">
      <c r="A2033" s="4">
        <v>45862</v>
      </c>
      <c r="B2033" s="32"/>
      <c r="C2033" s="32"/>
      <c r="D2033" s="33">
        <v>8010845914</v>
      </c>
      <c r="E2033" s="33" t="s">
        <v>76</v>
      </c>
      <c r="F2033" s="33">
        <v>8010845914</v>
      </c>
      <c r="G2033" s="33">
        <v>367816415</v>
      </c>
      <c r="H2033" s="33" t="s">
        <v>76</v>
      </c>
      <c r="I2033" s="32">
        <v>367816415</v>
      </c>
      <c r="J2033" s="32">
        <v>8378662329</v>
      </c>
    </row>
    <row r="2034" spans="1:10">
      <c r="A2034" s="4">
        <v>45863</v>
      </c>
      <c r="B2034" s="32"/>
      <c r="C2034" s="32"/>
      <c r="D2034" s="33">
        <v>7309629848</v>
      </c>
      <c r="E2034" s="33">
        <v>499294.66</v>
      </c>
      <c r="F2034" s="33">
        <v>7310129142.6599998</v>
      </c>
      <c r="G2034" s="33">
        <v>320602106</v>
      </c>
      <c r="H2034" s="33">
        <v>100000000</v>
      </c>
      <c r="I2034" s="32">
        <v>420602106</v>
      </c>
      <c r="J2034" s="32">
        <v>7730731248.6599998</v>
      </c>
    </row>
    <row r="2035" spans="1:10">
      <c r="A2035" s="4">
        <v>45864</v>
      </c>
      <c r="B2035" s="32"/>
      <c r="C2035" s="32"/>
      <c r="D2035" s="33"/>
      <c r="E2035" s="33"/>
      <c r="F2035" s="33" t="s">
        <v>46</v>
      </c>
      <c r="G2035" s="33">
        <v>15574790</v>
      </c>
      <c r="H2035" s="33" t="s">
        <v>76</v>
      </c>
      <c r="I2035" s="32">
        <v>15574790</v>
      </c>
      <c r="J2035" s="32">
        <v>15574790</v>
      </c>
    </row>
    <row r="2036" spans="1:10">
      <c r="A2036" s="4">
        <v>45865</v>
      </c>
      <c r="B2036" s="32"/>
      <c r="C2036" s="32"/>
      <c r="D2036" s="33"/>
      <c r="E2036" s="33"/>
      <c r="F2036" s="33" t="s">
        <v>46</v>
      </c>
      <c r="G2036" s="33">
        <v>550</v>
      </c>
      <c r="H2036" s="33" t="s">
        <v>76</v>
      </c>
      <c r="I2036" s="32">
        <v>550</v>
      </c>
      <c r="J2036" s="32">
        <v>550</v>
      </c>
    </row>
    <row r="2037" spans="1:10">
      <c r="A2037" s="4">
        <v>45866</v>
      </c>
      <c r="B2037" s="32"/>
      <c r="C2037" s="32"/>
      <c r="D2037" s="33">
        <v>14843767811</v>
      </c>
      <c r="E2037" s="33">
        <v>84235</v>
      </c>
      <c r="F2037" s="33">
        <v>14843852046</v>
      </c>
      <c r="G2037" s="33">
        <v>364469324</v>
      </c>
      <c r="H2037" s="33" t="s">
        <v>50</v>
      </c>
      <c r="I2037" s="32">
        <v>364469324</v>
      </c>
      <c r="J2037" s="32">
        <v>15208321370</v>
      </c>
    </row>
    <row r="2038" spans="1:10">
      <c r="A2038" s="4">
        <v>45867</v>
      </c>
      <c r="B2038" s="32"/>
      <c r="C2038" s="32"/>
      <c r="D2038" s="33">
        <v>7287473677.8000002</v>
      </c>
      <c r="E2038" s="33">
        <v>443301920.66000003</v>
      </c>
      <c r="F2038" s="33">
        <v>7730775598.46</v>
      </c>
      <c r="G2038" s="33">
        <v>354292029</v>
      </c>
      <c r="H2038" s="33" t="s">
        <v>50</v>
      </c>
      <c r="I2038" s="32">
        <v>354292029</v>
      </c>
      <c r="J2038" s="32">
        <v>8085067627.46</v>
      </c>
    </row>
    <row r="2039" spans="1:10">
      <c r="A2039" s="4">
        <v>45868</v>
      </c>
      <c r="B2039" s="32"/>
      <c r="C2039" s="32"/>
      <c r="D2039" s="33">
        <v>4907495677.5</v>
      </c>
      <c r="E2039" s="33">
        <v>5205331.7300000004</v>
      </c>
      <c r="F2039" s="33">
        <v>4912701009.2299995</v>
      </c>
      <c r="G2039" s="33">
        <v>329856392</v>
      </c>
      <c r="H2039" s="33" t="s">
        <v>50</v>
      </c>
      <c r="I2039" s="32">
        <v>329856392</v>
      </c>
      <c r="J2039" s="32">
        <v>5242557401.2299995</v>
      </c>
    </row>
    <row r="2040" spans="1:10">
      <c r="A2040" s="4">
        <v>45869</v>
      </c>
      <c r="B2040" s="32"/>
      <c r="C2040" s="32"/>
      <c r="D2040" s="33">
        <v>6398131487.0799999</v>
      </c>
      <c r="E2040" s="33">
        <v>3308242362.8899999</v>
      </c>
      <c r="F2040" s="33">
        <v>9706373849.9699993</v>
      </c>
      <c r="G2040" s="33">
        <v>268435759</v>
      </c>
      <c r="H2040" s="33" t="s">
        <v>50</v>
      </c>
      <c r="I2040" s="32">
        <v>268435759</v>
      </c>
      <c r="J2040" s="32">
        <v>9974809608.9699993</v>
      </c>
    </row>
    <row r="2041" spans="1:10">
      <c r="A2041" s="4">
        <v>45870</v>
      </c>
      <c r="B2041" s="32"/>
      <c r="C2041" s="32"/>
      <c r="D2041" s="33">
        <v>9754149272</v>
      </c>
      <c r="E2041" s="33">
        <v>6197826.3700000001</v>
      </c>
      <c r="F2041" s="33">
        <v>9760347098.3700008</v>
      </c>
      <c r="G2041" s="33">
        <v>334654581</v>
      </c>
      <c r="H2041" s="33">
        <v>100000000</v>
      </c>
      <c r="I2041" s="32">
        <v>434654581</v>
      </c>
      <c r="J2041" s="32">
        <v>10195001679.370001</v>
      </c>
    </row>
    <row r="2042" spans="1:10">
      <c r="A2042" s="4">
        <v>45871</v>
      </c>
      <c r="B2042" s="32"/>
      <c r="C2042" s="32"/>
      <c r="D2042" s="33"/>
      <c r="E2042" s="33"/>
      <c r="F2042" s="33" t="s">
        <v>46</v>
      </c>
      <c r="G2042" s="33">
        <v>19688429</v>
      </c>
      <c r="H2042" s="33" t="s">
        <v>76</v>
      </c>
      <c r="I2042" s="32">
        <v>19688429</v>
      </c>
      <c r="J2042" s="32">
        <v>19688429</v>
      </c>
    </row>
    <row r="2043" spans="1:10">
      <c r="A2043" s="4">
        <v>45872</v>
      </c>
      <c r="B2043" s="32"/>
      <c r="C2043" s="32"/>
      <c r="D2043" s="33"/>
      <c r="E2043" s="33"/>
      <c r="F2043" s="33" t="s">
        <v>46</v>
      </c>
      <c r="G2043" s="33">
        <v>8926530</v>
      </c>
      <c r="H2043" s="33" t="s">
        <v>76</v>
      </c>
      <c r="I2043" s="32">
        <v>8926530</v>
      </c>
      <c r="J2043" s="32">
        <v>8926530</v>
      </c>
    </row>
    <row r="2044" spans="1:10">
      <c r="A2044" s="4">
        <v>45873</v>
      </c>
      <c r="B2044" s="32"/>
      <c r="C2044" s="32"/>
      <c r="D2044" s="33">
        <v>6606659202.4700003</v>
      </c>
      <c r="E2044" s="33">
        <v>28849996.940000001</v>
      </c>
      <c r="F2044" s="33">
        <v>6635509199.4099998</v>
      </c>
      <c r="G2044" s="33">
        <v>558397939</v>
      </c>
      <c r="H2044" s="33" t="s">
        <v>76</v>
      </c>
      <c r="I2044" s="32">
        <v>558397939</v>
      </c>
      <c r="J2044" s="32">
        <v>7193907138.4099998</v>
      </c>
    </row>
    <row r="2045" spans="1:10">
      <c r="A2045" s="4">
        <v>45874</v>
      </c>
      <c r="B2045" s="32"/>
      <c r="C2045" s="32"/>
      <c r="D2045" s="33">
        <v>9916168291</v>
      </c>
      <c r="E2045" s="33" t="s">
        <v>76</v>
      </c>
      <c r="F2045" s="33">
        <v>9916168291</v>
      </c>
      <c r="G2045" s="33">
        <v>1272826127</v>
      </c>
      <c r="H2045" s="33" t="s">
        <v>76</v>
      </c>
      <c r="I2045" s="32">
        <v>1272826127</v>
      </c>
      <c r="J2045" s="32">
        <v>11188994418</v>
      </c>
    </row>
    <row r="2046" spans="1:10">
      <c r="A2046" s="4">
        <v>45875</v>
      </c>
      <c r="B2046" s="32"/>
      <c r="C2046" s="32"/>
      <c r="D2046" s="33">
        <v>7059535632</v>
      </c>
      <c r="E2046" s="33" t="s">
        <v>76</v>
      </c>
      <c r="F2046" s="33">
        <v>7059535632</v>
      </c>
      <c r="G2046" s="33">
        <v>399187637</v>
      </c>
      <c r="H2046" s="33">
        <v>8407870980</v>
      </c>
      <c r="I2046" s="32">
        <v>8807058617</v>
      </c>
      <c r="J2046" s="32">
        <v>15866594249</v>
      </c>
    </row>
    <row r="2047" spans="1:10">
      <c r="A2047" s="4">
        <v>45876</v>
      </c>
      <c r="B2047" s="32"/>
      <c r="C2047" s="32"/>
      <c r="D2047" s="33">
        <v>7042051603.3800001</v>
      </c>
      <c r="E2047" s="33" t="s">
        <v>76</v>
      </c>
      <c r="F2047" s="33">
        <v>7042051603.3800001</v>
      </c>
      <c r="G2047" s="33">
        <v>393592431.33999997</v>
      </c>
      <c r="H2047" s="33">
        <v>100000000</v>
      </c>
      <c r="I2047" s="32">
        <v>493592431.33999997</v>
      </c>
      <c r="J2047" s="32">
        <v>7535644034.7200003</v>
      </c>
    </row>
    <row r="2048" spans="1:10">
      <c r="A2048" s="4">
        <v>45877</v>
      </c>
      <c r="B2048" s="32"/>
      <c r="C2048" s="32"/>
      <c r="D2048" s="33" t="s">
        <v>78</v>
      </c>
      <c r="E2048" s="33" t="s">
        <v>76</v>
      </c>
      <c r="F2048" s="33" t="s">
        <v>46</v>
      </c>
      <c r="G2048" s="33" t="s">
        <v>46</v>
      </c>
      <c r="H2048" s="33" t="s">
        <v>76</v>
      </c>
      <c r="I2048" s="32" t="s">
        <v>46</v>
      </c>
      <c r="J2048" s="32" t="s">
        <v>46</v>
      </c>
    </row>
    <row r="2049" spans="1:10" ht="30.75">
      <c r="A2049" s="4">
        <v>45878</v>
      </c>
      <c r="B2049" s="32"/>
      <c r="C2049" s="32"/>
      <c r="D2049" s="33" t="s">
        <v>82</v>
      </c>
      <c r="E2049" s="33" t="s">
        <v>49</v>
      </c>
      <c r="F2049" s="33" t="s">
        <v>82</v>
      </c>
      <c r="G2049" s="33">
        <v>6058240</v>
      </c>
      <c r="H2049" s="33" t="s">
        <v>76</v>
      </c>
      <c r="I2049" s="32">
        <v>6058240</v>
      </c>
      <c r="J2049" s="32">
        <v>6058240</v>
      </c>
    </row>
    <row r="2050" spans="1:10">
      <c r="A2050" s="4">
        <v>45879</v>
      </c>
      <c r="B2050" s="32"/>
      <c r="C2050" s="32"/>
      <c r="D2050" s="33" t="s">
        <v>78</v>
      </c>
      <c r="E2050" s="33" t="s">
        <v>76</v>
      </c>
      <c r="F2050" s="33" t="s">
        <v>82</v>
      </c>
      <c r="G2050" s="33">
        <v>3024300</v>
      </c>
      <c r="H2050" s="33" t="s">
        <v>76</v>
      </c>
      <c r="I2050" s="32">
        <v>3024300</v>
      </c>
      <c r="J2050" s="32">
        <v>3024300</v>
      </c>
    </row>
    <row r="2051" spans="1:10">
      <c r="A2051" s="4">
        <v>45880</v>
      </c>
      <c r="B2051" s="32"/>
      <c r="C2051" s="32"/>
      <c r="D2051" s="33">
        <v>14578348504</v>
      </c>
      <c r="E2051" s="33">
        <v>2137095.83</v>
      </c>
      <c r="F2051" s="33">
        <v>14580485599.83</v>
      </c>
      <c r="G2051" s="33">
        <v>882938248</v>
      </c>
      <c r="H2051" s="33" t="s">
        <v>76</v>
      </c>
      <c r="I2051" s="32">
        <v>882938248</v>
      </c>
      <c r="J2051" s="32">
        <v>15463423847.83</v>
      </c>
    </row>
    <row r="2052" spans="1:10">
      <c r="A2052" s="4">
        <v>45881</v>
      </c>
      <c r="B2052" s="32"/>
      <c r="C2052" s="32"/>
      <c r="D2052" s="33">
        <v>22041957322</v>
      </c>
      <c r="E2052" s="33" t="s">
        <v>76</v>
      </c>
      <c r="F2052" s="33">
        <v>22041957322</v>
      </c>
      <c r="G2052" s="33">
        <v>427860386</v>
      </c>
      <c r="H2052" s="33"/>
      <c r="I2052" s="32">
        <v>427860386</v>
      </c>
      <c r="J2052" s="32">
        <v>22469817708</v>
      </c>
    </row>
    <row r="2053" spans="1:10">
      <c r="A2053" s="4">
        <v>45882</v>
      </c>
      <c r="B2053" s="32"/>
      <c r="C2053" s="32"/>
      <c r="D2053" s="33">
        <v>13627906339</v>
      </c>
      <c r="E2053" s="33" t="s">
        <v>76</v>
      </c>
      <c r="F2053" s="33">
        <v>13627906339</v>
      </c>
      <c r="G2053" s="33">
        <v>358022307</v>
      </c>
      <c r="H2053" s="33" t="s">
        <v>76</v>
      </c>
      <c r="I2053" s="32">
        <v>358022307</v>
      </c>
      <c r="J2053" s="32">
        <v>13985928646</v>
      </c>
    </row>
    <row r="2054" spans="1:10">
      <c r="A2054" s="4">
        <v>45883</v>
      </c>
      <c r="B2054" s="32"/>
      <c r="C2054" s="32"/>
      <c r="D2054" s="33">
        <v>16310902255.25</v>
      </c>
      <c r="E2054" s="33">
        <v>1100</v>
      </c>
      <c r="F2054" s="33">
        <v>16310903355.25</v>
      </c>
      <c r="G2054" s="33">
        <v>420918286</v>
      </c>
      <c r="H2054" s="33" t="s">
        <v>76</v>
      </c>
      <c r="I2054" s="32">
        <v>420918286</v>
      </c>
      <c r="J2054" s="32">
        <v>16731821641.25</v>
      </c>
    </row>
    <row r="2055" spans="1:10">
      <c r="A2055" s="4">
        <v>45884</v>
      </c>
      <c r="B2055" s="32"/>
      <c r="C2055" s="32"/>
      <c r="D2055" s="33">
        <v>10197949840.049999</v>
      </c>
      <c r="E2055" s="33" t="s">
        <v>76</v>
      </c>
      <c r="F2055" s="33">
        <v>10197949840.049999</v>
      </c>
      <c r="G2055" s="33">
        <v>3589948190</v>
      </c>
      <c r="H2055" s="33">
        <v>100000000</v>
      </c>
      <c r="I2055" s="32">
        <v>3689948190</v>
      </c>
      <c r="J2055" s="32">
        <v>13887898030.049999</v>
      </c>
    </row>
    <row r="2056" spans="1:10">
      <c r="A2056" s="4">
        <v>45885</v>
      </c>
      <c r="B2056" s="32"/>
      <c r="C2056" s="32"/>
      <c r="D2056" s="33" t="s">
        <v>78</v>
      </c>
      <c r="E2056" s="33" t="s">
        <v>76</v>
      </c>
      <c r="F2056" s="33" t="s">
        <v>46</v>
      </c>
      <c r="G2056" s="33">
        <v>12803562</v>
      </c>
      <c r="H2056" s="33" t="s">
        <v>76</v>
      </c>
      <c r="I2056" s="32">
        <v>12803562</v>
      </c>
      <c r="J2056" s="32">
        <v>12803562</v>
      </c>
    </row>
    <row r="2057" spans="1:10">
      <c r="A2057" s="4">
        <v>45886</v>
      </c>
      <c r="B2057" s="32"/>
      <c r="C2057" s="32"/>
      <c r="D2057" s="33" t="s">
        <v>78</v>
      </c>
      <c r="E2057" s="33" t="s">
        <v>76</v>
      </c>
      <c r="F2057" s="33" t="s">
        <v>46</v>
      </c>
      <c r="G2057" s="33">
        <v>20456226</v>
      </c>
      <c r="H2057" s="33" t="s">
        <v>76</v>
      </c>
      <c r="I2057" s="32">
        <v>20456226</v>
      </c>
      <c r="J2057" s="32">
        <v>20456226</v>
      </c>
    </row>
    <row r="2058" spans="1:10">
      <c r="A2058" s="4">
        <v>45887</v>
      </c>
      <c r="B2058" s="32"/>
      <c r="C2058" s="32"/>
      <c r="D2058" s="33">
        <v>11629889710.290001</v>
      </c>
      <c r="E2058" s="33" t="s">
        <v>76</v>
      </c>
      <c r="F2058" s="33">
        <v>11629889710.290001</v>
      </c>
      <c r="G2058" s="33">
        <v>616751579</v>
      </c>
      <c r="H2058" s="33" t="s">
        <v>76</v>
      </c>
      <c r="I2058" s="32">
        <v>616751579</v>
      </c>
      <c r="J2058" s="32">
        <v>12246641289.290001</v>
      </c>
    </row>
    <row r="2059" spans="1:10">
      <c r="A2059" s="4">
        <v>45888</v>
      </c>
      <c r="B2059" s="32"/>
      <c r="C2059" s="32"/>
      <c r="D2059" s="33">
        <v>14812629868.23</v>
      </c>
      <c r="E2059" s="33" t="s">
        <v>76</v>
      </c>
      <c r="F2059" s="33">
        <v>14812629868.23</v>
      </c>
      <c r="G2059" s="33">
        <v>456762415</v>
      </c>
      <c r="H2059" s="33" t="s">
        <v>76</v>
      </c>
      <c r="I2059" s="32">
        <v>456762415</v>
      </c>
      <c r="J2059" s="32">
        <v>15269392283.23</v>
      </c>
    </row>
    <row r="2060" spans="1:10">
      <c r="A2060" s="4">
        <v>45889</v>
      </c>
      <c r="B2060" s="32"/>
      <c r="C2060" s="32"/>
      <c r="D2060" s="33">
        <v>7024990723.5</v>
      </c>
      <c r="E2060" s="33" t="s">
        <v>76</v>
      </c>
      <c r="F2060" s="33">
        <v>7024990723.5</v>
      </c>
      <c r="G2060" s="33">
        <v>396979360</v>
      </c>
      <c r="H2060" s="33" t="s">
        <v>76</v>
      </c>
      <c r="I2060" s="32">
        <v>396979360</v>
      </c>
      <c r="J2060" s="32">
        <v>7421970083.5</v>
      </c>
    </row>
    <row r="2061" spans="1:10">
      <c r="A2061" s="4">
        <v>45890</v>
      </c>
      <c r="B2061" s="32"/>
      <c r="C2061" s="32"/>
      <c r="D2061" s="33">
        <v>12409629925</v>
      </c>
      <c r="E2061" s="33">
        <v>4630500</v>
      </c>
      <c r="F2061" s="33">
        <v>12414260425</v>
      </c>
      <c r="G2061" s="33">
        <v>825346902</v>
      </c>
      <c r="H2061" s="33" t="s">
        <v>76</v>
      </c>
      <c r="I2061" s="32">
        <v>825346902</v>
      </c>
      <c r="J2061" s="32">
        <v>13239607327</v>
      </c>
    </row>
    <row r="2062" spans="1:10">
      <c r="A2062" s="4">
        <v>45891</v>
      </c>
      <c r="B2062" s="32"/>
      <c r="C2062" s="32"/>
      <c r="D2062" s="33">
        <v>7409406359</v>
      </c>
      <c r="E2062" s="33" t="s">
        <v>76</v>
      </c>
      <c r="F2062" s="33">
        <v>7409406359</v>
      </c>
      <c r="G2062" s="33">
        <v>397691911</v>
      </c>
      <c r="H2062" s="33">
        <v>100000000</v>
      </c>
      <c r="I2062" s="32">
        <v>497691911</v>
      </c>
      <c r="J2062" s="32">
        <v>7907098270</v>
      </c>
    </row>
    <row r="2063" spans="1:10">
      <c r="A2063" s="4">
        <v>45892</v>
      </c>
      <c r="B2063" s="32"/>
      <c r="C2063" s="32"/>
      <c r="D2063" s="33"/>
      <c r="E2063" s="33"/>
      <c r="F2063" s="33" t="s">
        <v>46</v>
      </c>
      <c r="G2063" s="33">
        <v>152341351</v>
      </c>
      <c r="H2063" s="33"/>
      <c r="I2063" s="32">
        <v>152341351</v>
      </c>
      <c r="J2063" s="32">
        <v>152341351</v>
      </c>
    </row>
    <row r="2064" spans="1:10">
      <c r="A2064" s="4">
        <v>45893</v>
      </c>
      <c r="B2064" s="32"/>
      <c r="C2064" s="32"/>
      <c r="D2064" s="33"/>
      <c r="E2064" s="33"/>
      <c r="F2064" s="33" t="s">
        <v>46</v>
      </c>
      <c r="G2064" s="33">
        <v>774900</v>
      </c>
      <c r="H2064" s="33"/>
      <c r="I2064" s="32">
        <v>774900</v>
      </c>
      <c r="J2064" s="32">
        <v>774900</v>
      </c>
    </row>
    <row r="2065" spans="1:10">
      <c r="A2065" s="4">
        <v>45894</v>
      </c>
      <c r="B2065" s="32"/>
      <c r="C2065" s="32"/>
      <c r="D2065" s="33">
        <v>9780561200</v>
      </c>
      <c r="E2065" s="33" t="s">
        <v>76</v>
      </c>
      <c r="F2065" s="33">
        <v>9780561200</v>
      </c>
      <c r="G2065" s="33">
        <v>379235113</v>
      </c>
      <c r="H2065" s="33" t="s">
        <v>76</v>
      </c>
      <c r="I2065" s="32">
        <v>379235113</v>
      </c>
      <c r="J2065" s="32">
        <v>10159796313</v>
      </c>
    </row>
    <row r="2066" spans="1:10">
      <c r="A2066" s="4">
        <v>45895</v>
      </c>
      <c r="B2066" s="32"/>
      <c r="C2066" s="32"/>
      <c r="D2066" s="33">
        <v>9407618140.2399998</v>
      </c>
      <c r="E2066" s="33">
        <v>9205.82</v>
      </c>
      <c r="F2066" s="33">
        <v>9407627346.0599995</v>
      </c>
      <c r="G2066" s="33">
        <v>468367029</v>
      </c>
      <c r="H2066" s="33" t="s">
        <v>76</v>
      </c>
      <c r="I2066" s="32">
        <v>468367029</v>
      </c>
      <c r="J2066" s="32">
        <v>9875994375.0599995</v>
      </c>
    </row>
    <row r="2067" spans="1:10">
      <c r="A2067" s="4">
        <v>45896</v>
      </c>
      <c r="B2067" s="32"/>
      <c r="C2067" s="32"/>
      <c r="D2067" s="33">
        <v>8943852400.5</v>
      </c>
      <c r="E2067" s="33" t="s">
        <v>76</v>
      </c>
      <c r="F2067" s="33">
        <v>8943852400.5</v>
      </c>
      <c r="G2067" s="33">
        <v>394152535</v>
      </c>
      <c r="H2067" s="33" t="s">
        <v>76</v>
      </c>
      <c r="I2067" s="32">
        <v>394152535</v>
      </c>
      <c r="J2067" s="32">
        <v>9338004935.5</v>
      </c>
    </row>
    <row r="2068" spans="1:10">
      <c r="A2068" s="4">
        <v>45897</v>
      </c>
      <c r="B2068" s="32"/>
      <c r="C2068" s="32"/>
      <c r="D2068" s="33">
        <v>14521247848</v>
      </c>
      <c r="E2068" s="33">
        <v>8500</v>
      </c>
      <c r="F2068" s="33">
        <v>14521256348</v>
      </c>
      <c r="G2068" s="33">
        <v>262807837</v>
      </c>
      <c r="H2068" s="33" t="s">
        <v>50</v>
      </c>
      <c r="I2068" s="32">
        <v>262807837</v>
      </c>
      <c r="J2068" s="32">
        <v>14784064185</v>
      </c>
    </row>
    <row r="2069" spans="1:10">
      <c r="A2069" s="4">
        <v>45898</v>
      </c>
      <c r="B2069" s="32"/>
      <c r="C2069" s="32"/>
      <c r="D2069" s="33">
        <v>6893417725.21</v>
      </c>
      <c r="E2069" s="33">
        <v>1961191183.4300001</v>
      </c>
      <c r="F2069" s="33">
        <v>8854608908.6399994</v>
      </c>
      <c r="G2069" s="33">
        <v>194443308</v>
      </c>
      <c r="H2069" s="33">
        <v>100000000</v>
      </c>
      <c r="I2069" s="32">
        <v>294443308</v>
      </c>
      <c r="J2069" s="32">
        <v>9149052216.6399994</v>
      </c>
    </row>
    <row r="2070" spans="1:10">
      <c r="A2070" s="4">
        <v>45899</v>
      </c>
      <c r="B2070" s="32"/>
      <c r="C2070" s="32"/>
      <c r="D2070" s="33"/>
      <c r="E2070" s="33"/>
      <c r="F2070" s="33" t="s">
        <v>82</v>
      </c>
      <c r="G2070" s="33">
        <v>48806047</v>
      </c>
      <c r="H2070" s="33" t="s">
        <v>50</v>
      </c>
      <c r="I2070" s="32">
        <v>48806047</v>
      </c>
      <c r="J2070" s="32">
        <v>48806047</v>
      </c>
    </row>
    <row r="2071" spans="1:10">
      <c r="A2071" s="4">
        <v>45900</v>
      </c>
      <c r="B2071" s="32"/>
      <c r="C2071" s="32"/>
      <c r="D2071" s="33"/>
      <c r="E2071" s="33"/>
      <c r="F2071" s="33"/>
      <c r="G2071" s="33"/>
      <c r="H2071" s="33"/>
      <c r="I2071" s="32"/>
      <c r="J2071" s="32"/>
    </row>
    <row r="2072" spans="1:10">
      <c r="A2072" s="4">
        <v>45901</v>
      </c>
      <c r="B2072" s="32"/>
      <c r="C2072" s="32"/>
      <c r="D2072" s="33">
        <v>9754149272</v>
      </c>
      <c r="E2072" s="33">
        <v>6197826.3700000001</v>
      </c>
      <c r="F2072" s="33">
        <v>9760347098.3700008</v>
      </c>
      <c r="G2072" s="33">
        <v>334654581</v>
      </c>
      <c r="H2072" s="32">
        <v>100000000</v>
      </c>
      <c r="I2072" s="32">
        <v>434654581</v>
      </c>
      <c r="J2072" s="32">
        <v>10195001679.370001</v>
      </c>
    </row>
    <row r="2073" spans="1:10">
      <c r="A2073" s="4">
        <v>45902</v>
      </c>
      <c r="B2073" s="32"/>
      <c r="C2073" s="32"/>
      <c r="D2073" s="33"/>
      <c r="E2073" s="33"/>
      <c r="F2073" s="33" t="s">
        <v>46</v>
      </c>
      <c r="G2073" s="33">
        <v>19688429</v>
      </c>
      <c r="H2073" s="32" t="s">
        <v>76</v>
      </c>
      <c r="I2073" s="32">
        <v>19688429</v>
      </c>
      <c r="J2073" s="32">
        <v>19688429</v>
      </c>
    </row>
    <row r="2074" spans="1:10">
      <c r="A2074" s="4">
        <v>45903</v>
      </c>
      <c r="B2074" s="32"/>
      <c r="C2074" s="32"/>
      <c r="D2074" s="33"/>
      <c r="E2074" s="33"/>
      <c r="F2074" s="33" t="s">
        <v>46</v>
      </c>
      <c r="G2074" s="33">
        <v>8926530</v>
      </c>
      <c r="H2074" s="32" t="s">
        <v>76</v>
      </c>
      <c r="I2074" s="32">
        <v>8926530</v>
      </c>
      <c r="J2074" s="32">
        <v>8926530</v>
      </c>
    </row>
    <row r="2075" spans="1:10">
      <c r="A2075" s="4">
        <v>45904</v>
      </c>
      <c r="B2075" s="32"/>
      <c r="C2075" s="32"/>
      <c r="D2075" s="33">
        <v>6606659202.4700003</v>
      </c>
      <c r="E2075" s="33">
        <v>28849996.940000001</v>
      </c>
      <c r="F2075" s="33">
        <v>6635509199.4099998</v>
      </c>
      <c r="G2075" s="33">
        <v>558397939</v>
      </c>
      <c r="H2075" s="32" t="s">
        <v>76</v>
      </c>
      <c r="I2075" s="32">
        <v>558397939</v>
      </c>
      <c r="J2075" s="32">
        <v>7193907138.4099998</v>
      </c>
    </row>
    <row r="2076" spans="1:10">
      <c r="A2076" s="4">
        <v>45905</v>
      </c>
      <c r="B2076" s="32"/>
      <c r="C2076" s="32"/>
      <c r="D2076" s="33">
        <v>9916168291</v>
      </c>
      <c r="E2076" s="33" t="s">
        <v>76</v>
      </c>
      <c r="F2076" s="33">
        <v>9916168291</v>
      </c>
      <c r="G2076" s="33">
        <v>1272826127</v>
      </c>
      <c r="H2076" s="32" t="s">
        <v>76</v>
      </c>
      <c r="I2076" s="32">
        <v>1272826127</v>
      </c>
      <c r="J2076" s="32">
        <v>11188994418</v>
      </c>
    </row>
    <row r="2077" spans="1:10">
      <c r="A2077" s="4">
        <v>45906</v>
      </c>
      <c r="B2077" s="32"/>
      <c r="C2077" s="32"/>
      <c r="D2077" s="33">
        <v>7059535632</v>
      </c>
      <c r="E2077" s="33" t="s">
        <v>76</v>
      </c>
      <c r="F2077" s="33">
        <v>7059535632</v>
      </c>
      <c r="G2077" s="33">
        <v>399187637</v>
      </c>
      <c r="H2077" s="32">
        <v>8407870980</v>
      </c>
      <c r="I2077" s="32">
        <v>8807058617</v>
      </c>
      <c r="J2077" s="32">
        <v>15866594249</v>
      </c>
    </row>
    <row r="2078" spans="1:10">
      <c r="A2078" s="4">
        <v>45907</v>
      </c>
      <c r="B2078" s="32"/>
      <c r="C2078" s="32"/>
      <c r="D2078" s="33">
        <v>7042051603.3800001</v>
      </c>
      <c r="E2078" s="33" t="s">
        <v>76</v>
      </c>
      <c r="F2078" s="33">
        <v>7042051603.3800001</v>
      </c>
      <c r="G2078" s="33">
        <v>393592431.33999997</v>
      </c>
      <c r="H2078" s="32">
        <v>100000000</v>
      </c>
      <c r="I2078" s="32">
        <v>493592431.33999997</v>
      </c>
      <c r="J2078" s="32">
        <v>7535644034.7200003</v>
      </c>
    </row>
    <row r="2079" spans="1:10">
      <c r="A2079" s="4">
        <v>45908</v>
      </c>
      <c r="B2079" s="32"/>
      <c r="C2079" s="32"/>
      <c r="D2079" s="33" t="s">
        <v>78</v>
      </c>
      <c r="E2079" s="33" t="s">
        <v>76</v>
      </c>
      <c r="F2079" s="33" t="s">
        <v>46</v>
      </c>
      <c r="G2079" s="33" t="s">
        <v>46</v>
      </c>
      <c r="H2079" s="32" t="s">
        <v>76</v>
      </c>
      <c r="I2079" s="32" t="s">
        <v>46</v>
      </c>
      <c r="J2079" s="32" t="s">
        <v>46</v>
      </c>
    </row>
    <row r="2080" spans="1:10" ht="30.75">
      <c r="A2080" s="4">
        <v>45909</v>
      </c>
      <c r="B2080" s="32"/>
      <c r="C2080" s="32"/>
      <c r="D2080" s="33" t="s">
        <v>82</v>
      </c>
      <c r="E2080" s="33" t="s">
        <v>49</v>
      </c>
      <c r="F2080" s="33" t="s">
        <v>82</v>
      </c>
      <c r="G2080" s="33">
        <v>6058240</v>
      </c>
      <c r="H2080" s="32" t="s">
        <v>76</v>
      </c>
      <c r="I2080" s="32">
        <v>6058240</v>
      </c>
      <c r="J2080" s="32">
        <v>6058240</v>
      </c>
    </row>
    <row r="2081" spans="1:10">
      <c r="A2081" s="4">
        <v>45910</v>
      </c>
      <c r="B2081" s="32"/>
      <c r="C2081" s="32"/>
      <c r="D2081" s="33" t="s">
        <v>78</v>
      </c>
      <c r="E2081" s="33" t="s">
        <v>76</v>
      </c>
      <c r="F2081" s="33" t="s">
        <v>82</v>
      </c>
      <c r="G2081" s="33">
        <v>3024300</v>
      </c>
      <c r="H2081" s="32" t="s">
        <v>76</v>
      </c>
      <c r="I2081" s="32">
        <v>3024300</v>
      </c>
      <c r="J2081" s="32">
        <v>3024300</v>
      </c>
    </row>
    <row r="2082" spans="1:10">
      <c r="A2082" s="4">
        <v>45911</v>
      </c>
      <c r="B2082" s="32"/>
      <c r="C2082" s="32"/>
      <c r="D2082" s="33">
        <v>14578348504</v>
      </c>
      <c r="E2082" s="33">
        <v>2137095.83</v>
      </c>
      <c r="F2082" s="33">
        <v>14580485599.83</v>
      </c>
      <c r="G2082" s="33">
        <v>882938248</v>
      </c>
      <c r="H2082" s="32" t="s">
        <v>76</v>
      </c>
      <c r="I2082" s="32">
        <v>882938248</v>
      </c>
      <c r="J2082" s="32">
        <v>15463423847.83</v>
      </c>
    </row>
    <row r="2083" spans="1:10">
      <c r="A2083" s="4">
        <v>45912</v>
      </c>
      <c r="B2083" s="32"/>
      <c r="C2083" s="32"/>
      <c r="D2083" s="33">
        <v>22041957322</v>
      </c>
      <c r="E2083" s="33" t="s">
        <v>76</v>
      </c>
      <c r="F2083" s="33">
        <v>22041957322</v>
      </c>
      <c r="G2083" s="33">
        <v>427860386</v>
      </c>
      <c r="H2083" s="32"/>
      <c r="I2083" s="32">
        <v>427860386</v>
      </c>
      <c r="J2083" s="32">
        <v>22469817708</v>
      </c>
    </row>
    <row r="2084" spans="1:10">
      <c r="A2084" s="4">
        <v>45913</v>
      </c>
      <c r="B2084" s="32"/>
      <c r="C2084" s="32"/>
      <c r="D2084" s="33">
        <v>13627906339</v>
      </c>
      <c r="E2084" s="33" t="s">
        <v>76</v>
      </c>
      <c r="F2084" s="33">
        <v>13627906339</v>
      </c>
      <c r="G2084" s="33">
        <v>358022307</v>
      </c>
      <c r="H2084" s="32" t="s">
        <v>76</v>
      </c>
      <c r="I2084" s="32">
        <v>358022307</v>
      </c>
      <c r="J2084" s="32">
        <v>13985928646</v>
      </c>
    </row>
    <row r="2085" spans="1:10">
      <c r="A2085" s="4">
        <v>45914</v>
      </c>
      <c r="B2085" s="32"/>
      <c r="C2085" s="32"/>
      <c r="D2085" s="33">
        <v>16310902255.25</v>
      </c>
      <c r="E2085" s="33">
        <v>1100</v>
      </c>
      <c r="F2085" s="33">
        <v>16310903355.25</v>
      </c>
      <c r="G2085" s="33">
        <v>420918286</v>
      </c>
      <c r="H2085" s="32" t="s">
        <v>76</v>
      </c>
      <c r="I2085" s="32">
        <v>420918286</v>
      </c>
      <c r="J2085" s="32">
        <v>16731821641.25</v>
      </c>
    </row>
    <row r="2086" spans="1:10">
      <c r="A2086" s="4">
        <v>45915</v>
      </c>
      <c r="B2086" s="32"/>
      <c r="C2086" s="32"/>
      <c r="D2086" s="33">
        <v>10197949840.049999</v>
      </c>
      <c r="E2086" s="33" t="s">
        <v>76</v>
      </c>
      <c r="F2086" s="33">
        <v>10197949840.049999</v>
      </c>
      <c r="G2086" s="33">
        <v>3589948190</v>
      </c>
      <c r="H2086" s="32">
        <v>100000000</v>
      </c>
      <c r="I2086" s="32">
        <v>3689948190</v>
      </c>
      <c r="J2086" s="32">
        <v>13887898030.049999</v>
      </c>
    </row>
    <row r="2087" spans="1:10">
      <c r="A2087" s="4">
        <v>45916</v>
      </c>
      <c r="B2087" s="32"/>
      <c r="C2087" s="32"/>
      <c r="D2087" s="33" t="s">
        <v>78</v>
      </c>
      <c r="E2087" s="33" t="s">
        <v>76</v>
      </c>
      <c r="F2087" s="33" t="s">
        <v>46</v>
      </c>
      <c r="G2087" s="33">
        <v>12803562</v>
      </c>
      <c r="H2087" s="32" t="s">
        <v>76</v>
      </c>
      <c r="I2087" s="32">
        <v>12803562</v>
      </c>
      <c r="J2087" s="32">
        <v>12803562</v>
      </c>
    </row>
    <row r="2088" spans="1:10">
      <c r="A2088" s="4">
        <v>45917</v>
      </c>
      <c r="B2088" s="32"/>
      <c r="C2088" s="32"/>
      <c r="D2088" s="33" t="s">
        <v>78</v>
      </c>
      <c r="E2088" s="33" t="s">
        <v>76</v>
      </c>
      <c r="F2088" s="33" t="s">
        <v>46</v>
      </c>
      <c r="G2088" s="33">
        <v>20456226</v>
      </c>
      <c r="H2088" s="32" t="s">
        <v>76</v>
      </c>
      <c r="I2088" s="32">
        <v>20456226</v>
      </c>
      <c r="J2088" s="32">
        <v>20456226</v>
      </c>
    </row>
    <row r="2089" spans="1:10">
      <c r="A2089" s="4">
        <v>45918</v>
      </c>
      <c r="B2089" s="32"/>
      <c r="C2089" s="32"/>
      <c r="D2089" s="33">
        <v>11629889710.290001</v>
      </c>
      <c r="E2089" s="33" t="s">
        <v>76</v>
      </c>
      <c r="F2089" s="33">
        <v>11629889710.290001</v>
      </c>
      <c r="G2089" s="33">
        <v>616751579</v>
      </c>
      <c r="H2089" s="32" t="s">
        <v>76</v>
      </c>
      <c r="I2089" s="32">
        <v>616751579</v>
      </c>
      <c r="J2089" s="32">
        <v>12246641289.290001</v>
      </c>
    </row>
    <row r="2090" spans="1:10">
      <c r="A2090" s="4">
        <v>45919</v>
      </c>
      <c r="B2090" s="32"/>
      <c r="C2090" s="32"/>
      <c r="D2090" s="33"/>
      <c r="E2090" s="33" t="s">
        <v>76</v>
      </c>
      <c r="F2090" s="33" t="s">
        <v>46</v>
      </c>
      <c r="G2090" s="33"/>
      <c r="H2090" s="32" t="s">
        <v>76</v>
      </c>
      <c r="I2090" s="32" t="s">
        <v>46</v>
      </c>
      <c r="J2090" s="32" t="s">
        <v>46</v>
      </c>
    </row>
    <row r="2091" spans="1:10">
      <c r="A2091" s="4">
        <v>45920</v>
      </c>
      <c r="B2091" s="32"/>
      <c r="C2091" s="32"/>
      <c r="D2091" s="33"/>
      <c r="E2091" s="33" t="s">
        <v>76</v>
      </c>
      <c r="F2091" s="33" t="s">
        <v>46</v>
      </c>
      <c r="G2091" s="33"/>
      <c r="H2091" s="32" t="s">
        <v>76</v>
      </c>
      <c r="I2091" s="32" t="s">
        <v>46</v>
      </c>
      <c r="J2091" s="32" t="s">
        <v>46</v>
      </c>
    </row>
    <row r="2092" spans="1:10">
      <c r="A2092" s="4">
        <v>45921</v>
      </c>
      <c r="B2092" s="32"/>
      <c r="C2092" s="32"/>
      <c r="D2092" s="33"/>
      <c r="E2092" s="33"/>
      <c r="F2092" s="33" t="s">
        <v>46</v>
      </c>
      <c r="G2092" s="33"/>
      <c r="H2092" s="32"/>
      <c r="I2092" s="32" t="s">
        <v>46</v>
      </c>
      <c r="J2092" s="32" t="s">
        <v>46</v>
      </c>
    </row>
    <row r="2093" spans="1:10">
      <c r="A2093" s="4">
        <v>45922</v>
      </c>
      <c r="B2093" s="32"/>
      <c r="C2093" s="32"/>
      <c r="D2093" s="33"/>
      <c r="E2093" s="33"/>
      <c r="F2093" s="33" t="s">
        <v>46</v>
      </c>
      <c r="G2093" s="33"/>
      <c r="H2093" s="32"/>
      <c r="I2093" s="32" t="s">
        <v>46</v>
      </c>
      <c r="J2093" s="32" t="s">
        <v>46</v>
      </c>
    </row>
    <row r="2094" spans="1:10">
      <c r="A2094" s="4">
        <v>45923</v>
      </c>
      <c r="B2094" s="32"/>
      <c r="C2094" s="32"/>
      <c r="D2094" s="33"/>
      <c r="E2094" s="33"/>
      <c r="F2094" s="33" t="s">
        <v>46</v>
      </c>
      <c r="G2094" s="33"/>
      <c r="H2094" s="32"/>
      <c r="I2094" s="32" t="s">
        <v>46</v>
      </c>
      <c r="J2094" s="32" t="s">
        <v>46</v>
      </c>
    </row>
    <row r="2095" spans="1:10">
      <c r="A2095" s="4">
        <v>45924</v>
      </c>
      <c r="B2095" s="32"/>
      <c r="C2095" s="32"/>
      <c r="D2095" s="33"/>
      <c r="E2095" s="33"/>
      <c r="F2095" s="33" t="s">
        <v>46</v>
      </c>
      <c r="G2095" s="33"/>
      <c r="H2095" s="32"/>
      <c r="I2095" s="32" t="s">
        <v>46</v>
      </c>
      <c r="J2095" s="32" t="s">
        <v>46</v>
      </c>
    </row>
    <row r="2096" spans="1:10">
      <c r="A2096" s="4">
        <v>45925</v>
      </c>
      <c r="B2096" s="32"/>
      <c r="C2096" s="32"/>
      <c r="D2096" s="33"/>
      <c r="E2096" s="33"/>
      <c r="F2096" s="33" t="s">
        <v>46</v>
      </c>
      <c r="G2096" s="33"/>
      <c r="H2096" s="32"/>
      <c r="I2096" s="32" t="s">
        <v>46</v>
      </c>
      <c r="J2096" s="32" t="s">
        <v>46</v>
      </c>
    </row>
    <row r="2097" spans="1:10">
      <c r="A2097" s="4">
        <v>45926</v>
      </c>
      <c r="B2097" s="32"/>
      <c r="C2097" s="32"/>
      <c r="D2097" s="33"/>
      <c r="E2097" s="33"/>
      <c r="F2097" s="33" t="s">
        <v>46</v>
      </c>
      <c r="G2097" s="33"/>
      <c r="H2097" s="32"/>
      <c r="I2097" s="32" t="s">
        <v>46</v>
      </c>
      <c r="J2097" s="32" t="s">
        <v>46</v>
      </c>
    </row>
    <row r="2098" spans="1:10">
      <c r="A2098" s="4">
        <v>45927</v>
      </c>
      <c r="B2098" s="32"/>
      <c r="C2098" s="32"/>
      <c r="D2098" s="33"/>
      <c r="E2098" s="33"/>
      <c r="F2098" s="33" t="s">
        <v>46</v>
      </c>
      <c r="G2098" s="33"/>
      <c r="H2098" s="32"/>
      <c r="I2098" s="32" t="s">
        <v>46</v>
      </c>
      <c r="J2098" s="32" t="s">
        <v>46</v>
      </c>
    </row>
    <row r="2099" spans="1:10">
      <c r="A2099" s="4">
        <v>45928</v>
      </c>
      <c r="B2099" s="32"/>
      <c r="C2099" s="32"/>
      <c r="D2099" s="33"/>
      <c r="E2099" s="33"/>
      <c r="F2099" s="33" t="s">
        <v>82</v>
      </c>
      <c r="G2099" s="33"/>
      <c r="H2099" s="32"/>
      <c r="I2099" s="32" t="s">
        <v>81</v>
      </c>
      <c r="J2099" s="32" t="s">
        <v>46</v>
      </c>
    </row>
    <row r="2100" spans="1:10">
      <c r="A2100" s="4">
        <v>45929</v>
      </c>
      <c r="B2100" s="32"/>
      <c r="C2100" s="32"/>
      <c r="D2100" s="33"/>
      <c r="E2100" s="33"/>
      <c r="F2100" s="33" t="s">
        <v>82</v>
      </c>
      <c r="G2100" s="33"/>
      <c r="H2100" s="32"/>
      <c r="I2100" s="32" t="s">
        <v>81</v>
      </c>
      <c r="J2100" s="32" t="s">
        <v>46</v>
      </c>
    </row>
    <row r="2101" spans="1:10">
      <c r="A2101" s="4">
        <v>45930</v>
      </c>
      <c r="B2101" s="32"/>
      <c r="C2101" s="32"/>
      <c r="D2101" s="33"/>
      <c r="E2101" s="33"/>
      <c r="F2101" s="33" t="s">
        <v>82</v>
      </c>
      <c r="G2101" s="33"/>
      <c r="H2101" s="32"/>
      <c r="I2101" s="32" t="s">
        <v>81</v>
      </c>
      <c r="J2101" s="32" t="s">
        <v>46</v>
      </c>
    </row>
    <row r="2102" spans="1:10">
      <c r="A2102" s="4">
        <v>45931</v>
      </c>
      <c r="B2102" s="32"/>
      <c r="C2102" s="32"/>
      <c r="D2102" s="33">
        <v>9692549220</v>
      </c>
      <c r="E2102" s="33">
        <v>1710</v>
      </c>
      <c r="F2102" s="33">
        <v>9692550930</v>
      </c>
      <c r="G2102" s="33">
        <v>347954228</v>
      </c>
      <c r="H2102" s="32" t="s">
        <v>73</v>
      </c>
      <c r="I2102" s="32">
        <v>347954228</v>
      </c>
      <c r="J2102" s="32">
        <v>10040505158</v>
      </c>
    </row>
    <row r="2103" spans="1:10">
      <c r="A2103" s="4">
        <v>45932</v>
      </c>
      <c r="B2103" s="32"/>
      <c r="C2103" s="32"/>
      <c r="D2103" s="33">
        <v>7198786072</v>
      </c>
      <c r="E2103" s="33">
        <v>3267</v>
      </c>
      <c r="F2103" s="33">
        <v>7198789339</v>
      </c>
      <c r="G2103" s="33">
        <v>270591043</v>
      </c>
      <c r="H2103" s="32" t="s">
        <v>73</v>
      </c>
      <c r="I2103" s="32">
        <v>270591043</v>
      </c>
      <c r="J2103" s="32">
        <v>7469380382</v>
      </c>
    </row>
    <row r="2104" spans="1:10">
      <c r="A2104" s="4">
        <v>45933</v>
      </c>
      <c r="B2104" s="32"/>
      <c r="C2104" s="32"/>
      <c r="D2104" s="33">
        <v>7473054782.2399998</v>
      </c>
      <c r="E2104" s="33" t="s">
        <v>47</v>
      </c>
      <c r="F2104" s="33">
        <v>7473054782.2399998</v>
      </c>
      <c r="G2104" s="33">
        <v>397926458</v>
      </c>
      <c r="H2104" s="32">
        <v>9615030850</v>
      </c>
      <c r="I2104" s="32">
        <v>10012957308</v>
      </c>
      <c r="J2104" s="32">
        <v>17486012090.240002</v>
      </c>
    </row>
    <row r="2105" spans="1:10">
      <c r="A2105" s="4">
        <v>45934</v>
      </c>
      <c r="B2105" s="32"/>
      <c r="C2105" s="32"/>
      <c r="D2105" s="33" t="s">
        <v>50</v>
      </c>
      <c r="E2105" s="33" t="s">
        <v>47</v>
      </c>
      <c r="F2105" s="33" t="s">
        <v>83</v>
      </c>
      <c r="G2105" s="33">
        <v>159012049</v>
      </c>
      <c r="H2105" s="32" t="s">
        <v>73</v>
      </c>
      <c r="I2105" s="32">
        <v>159012049</v>
      </c>
      <c r="J2105" s="32">
        <v>159012049</v>
      </c>
    </row>
    <row r="2106" spans="1:10">
      <c r="A2106" s="4">
        <v>45935</v>
      </c>
      <c r="B2106" s="32"/>
      <c r="C2106" s="32"/>
      <c r="D2106" s="33" t="s">
        <v>50</v>
      </c>
      <c r="E2106" s="33" t="s">
        <v>47</v>
      </c>
      <c r="F2106" s="33" t="s">
        <v>83</v>
      </c>
      <c r="G2106" s="33">
        <v>7754475</v>
      </c>
      <c r="H2106" s="32" t="s">
        <v>73</v>
      </c>
      <c r="I2106" s="32">
        <v>7754475</v>
      </c>
      <c r="J2106" s="32">
        <v>7754475</v>
      </c>
    </row>
    <row r="2107" spans="1:10">
      <c r="A2107" s="4">
        <v>45936</v>
      </c>
      <c r="B2107" s="32"/>
      <c r="C2107" s="32"/>
      <c r="D2107" s="33" t="s">
        <v>50</v>
      </c>
      <c r="E2107" s="33" t="s">
        <v>47</v>
      </c>
      <c r="F2107" s="33" t="s">
        <v>83</v>
      </c>
      <c r="G2107" s="33">
        <v>902550</v>
      </c>
      <c r="H2107" s="32" t="s">
        <v>73</v>
      </c>
      <c r="I2107" s="32">
        <v>902550</v>
      </c>
      <c r="J2107" s="32">
        <v>902550</v>
      </c>
    </row>
    <row r="2108" spans="1:10">
      <c r="A2108" s="4">
        <v>45937</v>
      </c>
      <c r="B2108" s="32"/>
      <c r="C2108" s="32"/>
      <c r="D2108" s="33">
        <v>10304463686.299999</v>
      </c>
      <c r="E2108" s="33" t="s">
        <v>47</v>
      </c>
      <c r="F2108" s="33">
        <v>10304463686.299999</v>
      </c>
      <c r="G2108" s="33">
        <v>286569501</v>
      </c>
      <c r="H2108" s="32" t="s">
        <v>73</v>
      </c>
      <c r="I2108" s="32">
        <v>286569501</v>
      </c>
      <c r="J2108" s="32">
        <v>10591033187.299999</v>
      </c>
    </row>
    <row r="2109" spans="1:10">
      <c r="A2109" s="4">
        <v>45938</v>
      </c>
      <c r="B2109" s="32"/>
      <c r="C2109" s="32"/>
      <c r="D2109" s="33">
        <v>8987528481</v>
      </c>
      <c r="E2109" s="33" t="s">
        <v>47</v>
      </c>
      <c r="F2109" s="33">
        <v>8987528481</v>
      </c>
      <c r="G2109" s="33">
        <v>691797162</v>
      </c>
      <c r="H2109" s="32" t="s">
        <v>73</v>
      </c>
      <c r="I2109" s="32">
        <v>691797162</v>
      </c>
      <c r="J2109" s="32">
        <v>9679325643</v>
      </c>
    </row>
    <row r="2110" spans="1:10">
      <c r="A2110" s="4">
        <v>45939</v>
      </c>
      <c r="B2110" s="32"/>
      <c r="C2110" s="32"/>
      <c r="D2110" s="33">
        <v>17668271410.5</v>
      </c>
      <c r="E2110" s="33" t="s">
        <v>47</v>
      </c>
      <c r="F2110" s="33">
        <v>17668271410.5</v>
      </c>
      <c r="G2110" s="33">
        <v>2831476505</v>
      </c>
      <c r="H2110" s="32"/>
      <c r="I2110" s="32">
        <v>2831476505</v>
      </c>
      <c r="J2110" s="32">
        <v>20499747915.5</v>
      </c>
    </row>
    <row r="2111" spans="1:10">
      <c r="A2111" s="4">
        <v>45940</v>
      </c>
      <c r="B2111" s="32"/>
      <c r="C2111" s="32"/>
      <c r="D2111" s="33">
        <v>7267501130.4099998</v>
      </c>
      <c r="E2111" s="33">
        <v>2987000</v>
      </c>
      <c r="F2111" s="33">
        <v>7270488130.4099998</v>
      </c>
      <c r="G2111" s="33">
        <v>1220307313</v>
      </c>
      <c r="H2111" s="32">
        <v>100000000</v>
      </c>
      <c r="I2111" s="32">
        <v>1320307313</v>
      </c>
      <c r="J2111" s="32">
        <v>8590795443.4099998</v>
      </c>
    </row>
    <row r="2112" spans="1:10">
      <c r="A2112" s="4">
        <v>45941</v>
      </c>
      <c r="B2112" s="32"/>
      <c r="C2112" s="32"/>
      <c r="D2112" s="33"/>
      <c r="E2112" s="33"/>
      <c r="F2112" s="33" t="s">
        <v>83</v>
      </c>
      <c r="G2112" s="33">
        <v>4406414</v>
      </c>
      <c r="H2112" s="32" t="s">
        <v>73</v>
      </c>
      <c r="I2112" s="32">
        <v>4406414</v>
      </c>
      <c r="J2112" s="32">
        <v>4406414</v>
      </c>
    </row>
    <row r="2113" spans="1:10">
      <c r="A2113" s="4">
        <v>45942</v>
      </c>
      <c r="B2113" s="32"/>
      <c r="C2113" s="32"/>
      <c r="D2113" s="33"/>
      <c r="E2113" s="33"/>
      <c r="F2113" s="33" t="s">
        <v>83</v>
      </c>
      <c r="G2113" s="33">
        <v>2204900</v>
      </c>
      <c r="H2113" s="32" t="s">
        <v>73</v>
      </c>
      <c r="I2113" s="32">
        <v>2204900</v>
      </c>
      <c r="J2113" s="32">
        <v>2204900</v>
      </c>
    </row>
    <row r="2114" spans="1:10">
      <c r="A2114" s="4">
        <v>45943</v>
      </c>
      <c r="B2114" s="32"/>
      <c r="C2114" s="32"/>
      <c r="D2114" s="33">
        <v>8762369926</v>
      </c>
      <c r="E2114" s="33">
        <v>15606.36</v>
      </c>
      <c r="F2114" s="33">
        <v>8762385532.3600006</v>
      </c>
      <c r="G2114" s="33">
        <v>364625506</v>
      </c>
      <c r="H2114" s="32" t="s">
        <v>73</v>
      </c>
      <c r="I2114" s="32">
        <v>364625506</v>
      </c>
      <c r="J2114" s="32">
        <v>9127011038.3600006</v>
      </c>
    </row>
    <row r="2115" spans="1:10">
      <c r="A2115" s="4">
        <v>45944</v>
      </c>
      <c r="B2115" s="32"/>
      <c r="C2115" s="32"/>
      <c r="D2115" s="33">
        <v>10941436503</v>
      </c>
      <c r="E2115" s="33">
        <v>79250</v>
      </c>
      <c r="F2115" s="33">
        <v>10941515753</v>
      </c>
      <c r="G2115" s="33">
        <v>749096679</v>
      </c>
      <c r="H2115" s="32" t="s">
        <v>73</v>
      </c>
      <c r="I2115" s="32">
        <v>749096679</v>
      </c>
      <c r="J2115" s="32">
        <v>11690612432</v>
      </c>
    </row>
    <row r="2116" spans="1:10">
      <c r="A2116" s="4">
        <v>45945</v>
      </c>
      <c r="B2116" s="32"/>
      <c r="C2116" s="32">
        <v>4822142334</v>
      </c>
      <c r="D2116" s="33">
        <v>17365785124.599998</v>
      </c>
      <c r="E2116" s="33" t="s">
        <v>47</v>
      </c>
      <c r="F2116" s="33">
        <v>22187927458.599998</v>
      </c>
      <c r="G2116" s="33">
        <v>2729695309</v>
      </c>
      <c r="H2116" s="32" t="s">
        <v>73</v>
      </c>
      <c r="I2116" s="32">
        <v>2729695309</v>
      </c>
      <c r="J2116" s="32">
        <v>24917622767.599998</v>
      </c>
    </row>
    <row r="2117" spans="1:10">
      <c r="A2117" s="4">
        <v>45946</v>
      </c>
      <c r="B2117" s="32"/>
      <c r="C2117" s="32">
        <v>4000000000</v>
      </c>
      <c r="D2117" s="33">
        <v>13688943961</v>
      </c>
      <c r="E2117" s="33">
        <v>1100</v>
      </c>
      <c r="F2117" s="33">
        <v>17688945061</v>
      </c>
      <c r="G2117" s="33">
        <v>1067754221</v>
      </c>
      <c r="H2117" s="32" t="s">
        <v>73</v>
      </c>
      <c r="I2117" s="32">
        <v>1067754221</v>
      </c>
      <c r="J2117" s="32">
        <v>18756699282</v>
      </c>
    </row>
    <row r="2118" spans="1:10">
      <c r="A2118" s="4">
        <v>45947</v>
      </c>
      <c r="B2118" s="32"/>
      <c r="C2118" s="32"/>
      <c r="D2118" s="33">
        <v>18809068512.5</v>
      </c>
      <c r="E2118" s="33">
        <v>29160</v>
      </c>
      <c r="F2118" s="33">
        <v>18809097672.5</v>
      </c>
      <c r="G2118" s="33">
        <v>538498495</v>
      </c>
      <c r="H2118" s="32">
        <v>100000000</v>
      </c>
      <c r="I2118" s="32">
        <v>638498495</v>
      </c>
      <c r="J2118" s="32">
        <v>19447596167.5</v>
      </c>
    </row>
    <row r="2119" spans="1:10">
      <c r="A2119" s="4">
        <v>45948</v>
      </c>
      <c r="B2119" s="32"/>
      <c r="C2119" s="32"/>
      <c r="D2119" s="33"/>
      <c r="E2119" s="33"/>
      <c r="F2119" s="33" t="s">
        <v>83</v>
      </c>
      <c r="G2119" s="33">
        <v>20667164</v>
      </c>
      <c r="H2119" s="32"/>
      <c r="I2119" s="32">
        <v>20667164</v>
      </c>
      <c r="J2119" s="32">
        <v>20667164</v>
      </c>
    </row>
    <row r="2120" spans="1:10">
      <c r="A2120" s="4">
        <v>45949</v>
      </c>
      <c r="B2120" s="32"/>
      <c r="C2120" s="32"/>
      <c r="D2120" s="33"/>
      <c r="E2120" s="33"/>
      <c r="F2120" s="33" t="s">
        <v>83</v>
      </c>
      <c r="G2120" s="33">
        <v>8410950</v>
      </c>
      <c r="H2120" s="32"/>
      <c r="I2120" s="32">
        <v>8410950</v>
      </c>
      <c r="J2120" s="32">
        <v>8410950</v>
      </c>
    </row>
    <row r="2121" spans="1:10">
      <c r="A2121" s="4">
        <v>45950</v>
      </c>
      <c r="B2121" s="32"/>
      <c r="C2121" s="32"/>
      <c r="D2121" s="33"/>
      <c r="E2121" s="33"/>
      <c r="F2121" s="33" t="s">
        <v>83</v>
      </c>
      <c r="G2121" s="33">
        <v>145780773</v>
      </c>
      <c r="H2121" s="32"/>
      <c r="I2121" s="32">
        <v>145780773</v>
      </c>
      <c r="J2121" s="32">
        <v>145780773</v>
      </c>
    </row>
    <row r="2122" spans="1:10">
      <c r="A2122" s="4">
        <v>45951</v>
      </c>
      <c r="B2122" s="32"/>
      <c r="C2122" s="32"/>
      <c r="D2122" s="33">
        <v>15805064530</v>
      </c>
      <c r="E2122" s="33" t="s">
        <v>47</v>
      </c>
      <c r="F2122" s="33">
        <v>15805064530</v>
      </c>
      <c r="G2122" s="33">
        <v>3792510652</v>
      </c>
      <c r="H2122" s="32" t="s">
        <v>73</v>
      </c>
      <c r="I2122" s="32">
        <v>3792510652</v>
      </c>
      <c r="J2122" s="32">
        <v>19597575182</v>
      </c>
    </row>
    <row r="2123" spans="1:10">
      <c r="A2123" s="4">
        <v>45952</v>
      </c>
      <c r="B2123" s="32"/>
      <c r="C2123" s="32"/>
      <c r="D2123" s="33">
        <v>14543431386</v>
      </c>
      <c r="E2123" s="33">
        <v>679310</v>
      </c>
      <c r="F2123" s="33">
        <v>14544110696</v>
      </c>
      <c r="G2123" s="33">
        <v>640492602</v>
      </c>
      <c r="H2123" s="32" t="s">
        <v>73</v>
      </c>
      <c r="I2123" s="32">
        <v>640492602</v>
      </c>
      <c r="J2123" s="32">
        <v>15184603298</v>
      </c>
    </row>
    <row r="2124" spans="1:10">
      <c r="A2124" s="4">
        <v>45953</v>
      </c>
      <c r="B2124" s="32"/>
      <c r="C2124" s="32"/>
      <c r="D2124" s="33">
        <v>10087044434</v>
      </c>
      <c r="E2124" s="33">
        <v>299590.55</v>
      </c>
      <c r="F2124" s="33">
        <v>10087344024.549999</v>
      </c>
      <c r="G2124" s="33">
        <v>509987289</v>
      </c>
      <c r="H2124" s="32" t="s">
        <v>73</v>
      </c>
      <c r="I2124" s="32">
        <v>509987289</v>
      </c>
      <c r="J2124" s="32">
        <v>10597331313.549999</v>
      </c>
    </row>
    <row r="2125" spans="1:10">
      <c r="A2125" s="4">
        <v>45954</v>
      </c>
      <c r="B2125" s="32"/>
      <c r="C2125" s="32"/>
      <c r="D2125" s="33">
        <v>7192020793</v>
      </c>
      <c r="E2125" s="33" t="s">
        <v>47</v>
      </c>
      <c r="F2125" s="33">
        <v>7192020793</v>
      </c>
      <c r="G2125" s="33">
        <v>223818813</v>
      </c>
      <c r="H2125" s="32">
        <v>100000000</v>
      </c>
      <c r="I2125" s="32">
        <v>323818813</v>
      </c>
      <c r="J2125" s="32">
        <v>7515839606</v>
      </c>
    </row>
    <row r="2126" spans="1:10">
      <c r="A2126" s="4">
        <v>45955</v>
      </c>
      <c r="B2126" s="32"/>
      <c r="C2126" s="32"/>
      <c r="D2126" s="33"/>
      <c r="E2126" s="33"/>
      <c r="F2126" s="33" t="s">
        <v>83</v>
      </c>
      <c r="G2126" s="33">
        <v>20885825</v>
      </c>
      <c r="H2126" s="32" t="s">
        <v>73</v>
      </c>
      <c r="I2126" s="32">
        <v>20885825</v>
      </c>
      <c r="J2126" s="32">
        <v>20885825</v>
      </c>
    </row>
    <row r="2127" spans="1:10">
      <c r="A2127" s="4">
        <v>45956</v>
      </c>
      <c r="B2127" s="32"/>
      <c r="C2127" s="32"/>
      <c r="D2127" s="33"/>
      <c r="E2127" s="33"/>
      <c r="F2127" s="33" t="s">
        <v>83</v>
      </c>
      <c r="G2127" s="33">
        <v>3154700</v>
      </c>
      <c r="H2127" s="32" t="s">
        <v>73</v>
      </c>
      <c r="I2127" s="32">
        <v>3154700</v>
      </c>
      <c r="J2127" s="32">
        <v>3154700</v>
      </c>
    </row>
    <row r="2128" spans="1:10">
      <c r="A2128" s="4">
        <v>45957</v>
      </c>
      <c r="B2128" s="32"/>
      <c r="C2128" s="32"/>
      <c r="D2128" s="33">
        <v>12370990674</v>
      </c>
      <c r="E2128" s="33">
        <v>372398.17</v>
      </c>
      <c r="F2128" s="33">
        <v>12371363072.17</v>
      </c>
      <c r="G2128" s="33">
        <v>601372025</v>
      </c>
      <c r="H2128" s="32" t="s">
        <v>73</v>
      </c>
      <c r="I2128" s="32">
        <v>601372025</v>
      </c>
      <c r="J2128" s="32">
        <v>12972735097.17</v>
      </c>
    </row>
    <row r="2129" spans="1:10">
      <c r="A2129" s="4">
        <v>45958</v>
      </c>
      <c r="B2129" s="32"/>
      <c r="C2129" s="32"/>
      <c r="D2129" s="33">
        <v>8856277467.3899994</v>
      </c>
      <c r="E2129" s="33" t="s">
        <v>47</v>
      </c>
      <c r="F2129" s="33">
        <v>8856277467.3899994</v>
      </c>
      <c r="G2129" s="33">
        <v>342993675</v>
      </c>
      <c r="H2129" s="32" t="s">
        <v>73</v>
      </c>
      <c r="I2129" s="32">
        <v>342993675</v>
      </c>
      <c r="J2129" s="32">
        <v>9199271142.3899994</v>
      </c>
    </row>
    <row r="2130" spans="1:10">
      <c r="A2130" s="4">
        <v>45959</v>
      </c>
      <c r="B2130" s="32"/>
      <c r="C2130" s="32"/>
      <c r="D2130" s="33">
        <v>12540368291</v>
      </c>
      <c r="E2130" s="33">
        <v>491960877.44</v>
      </c>
      <c r="F2130" s="33">
        <v>13032329168.440001</v>
      </c>
      <c r="G2130" s="33">
        <v>529069509</v>
      </c>
      <c r="H2130" s="32"/>
      <c r="I2130" s="32">
        <v>529069509</v>
      </c>
      <c r="J2130" s="32">
        <v>13561398677.440001</v>
      </c>
    </row>
    <row r="2131" spans="1:10">
      <c r="A2131" s="4">
        <v>45960</v>
      </c>
      <c r="B2131" s="32"/>
      <c r="C2131" s="32"/>
      <c r="D2131" s="33">
        <v>8030030848.6700001</v>
      </c>
      <c r="E2131" s="33">
        <v>315551183.91000003</v>
      </c>
      <c r="F2131" s="33">
        <v>8345582032.5799999</v>
      </c>
      <c r="G2131" s="33">
        <v>319315098</v>
      </c>
      <c r="H2131" s="32"/>
      <c r="I2131" s="32">
        <v>319315098</v>
      </c>
      <c r="J2131" s="32">
        <v>8664897130.5799999</v>
      </c>
    </row>
    <row r="2132" spans="1:10">
      <c r="A2132" s="4">
        <v>45961</v>
      </c>
      <c r="B2132" s="32"/>
      <c r="C2132" s="32"/>
      <c r="D2132" s="33">
        <v>6388680040.7200003</v>
      </c>
      <c r="E2132" s="33">
        <v>636563007.41999996</v>
      </c>
      <c r="F2132" s="33">
        <v>7025243048.1400003</v>
      </c>
      <c r="G2132" s="33">
        <v>251867261</v>
      </c>
      <c r="H2132" s="32">
        <v>100000000</v>
      </c>
      <c r="I2132" s="32">
        <v>351867261</v>
      </c>
      <c r="J2132" s="32">
        <v>7377110309.1400003</v>
      </c>
    </row>
    <row r="2133" spans="1:10">
      <c r="A2133" s="4">
        <v>45962</v>
      </c>
      <c r="B2133" s="32"/>
      <c r="C2133" s="32"/>
      <c r="D2133" s="33"/>
      <c r="E2133" s="33"/>
      <c r="F2133" s="33" t="s">
        <v>83</v>
      </c>
      <c r="G2133" s="33">
        <v>26358208</v>
      </c>
      <c r="H2133" s="32"/>
      <c r="I2133" s="32">
        <v>26358208</v>
      </c>
      <c r="J2133" s="33">
        <v>26358208</v>
      </c>
    </row>
    <row r="2134" spans="1:10">
      <c r="A2134" s="4">
        <v>45963</v>
      </c>
      <c r="B2134" s="32"/>
      <c r="C2134" s="32"/>
      <c r="D2134" s="33"/>
      <c r="E2134" s="33"/>
      <c r="F2134" s="33" t="s">
        <v>83</v>
      </c>
      <c r="G2134" s="33">
        <v>16167184</v>
      </c>
      <c r="H2134" s="32"/>
      <c r="I2134" s="32">
        <v>16167184</v>
      </c>
      <c r="J2134" s="33">
        <v>16167184</v>
      </c>
    </row>
    <row r="2135" spans="1:10">
      <c r="A2135" s="4">
        <v>45964</v>
      </c>
      <c r="B2135" s="32"/>
      <c r="C2135" s="32"/>
      <c r="D2135" s="33">
        <v>13164009911</v>
      </c>
      <c r="E2135" s="33" t="s">
        <v>47</v>
      </c>
      <c r="F2135" s="33">
        <v>13164009911</v>
      </c>
      <c r="G2135" s="33">
        <v>491633332</v>
      </c>
      <c r="H2135" s="32"/>
      <c r="I2135" s="32">
        <v>491633332</v>
      </c>
      <c r="J2135" s="33">
        <v>13655643243</v>
      </c>
    </row>
    <row r="2136" spans="1:10">
      <c r="A2136" s="4">
        <v>45965</v>
      </c>
      <c r="B2136" s="32"/>
      <c r="C2136" s="32"/>
      <c r="D2136" s="33">
        <v>12886753445.59</v>
      </c>
      <c r="E2136" s="33">
        <v>6233456.2000000002</v>
      </c>
      <c r="F2136" s="33">
        <v>12892986901.790001</v>
      </c>
      <c r="G2136" s="33">
        <v>1662591245</v>
      </c>
      <c r="H2136" s="32"/>
      <c r="I2136" s="32">
        <v>1662591245</v>
      </c>
      <c r="J2136" s="33">
        <v>14555578146.790001</v>
      </c>
    </row>
    <row r="2137" spans="1:10">
      <c r="A2137" s="4">
        <v>45966</v>
      </c>
      <c r="B2137" s="32"/>
      <c r="C2137" s="32"/>
      <c r="D2137" s="33"/>
      <c r="E2137" s="33"/>
      <c r="F2137" s="33" t="s">
        <v>83</v>
      </c>
      <c r="G2137" s="33"/>
      <c r="H2137" s="32"/>
      <c r="I2137" s="32" t="s">
        <v>47</v>
      </c>
      <c r="J2137" s="33" t="s">
        <v>79</v>
      </c>
    </row>
    <row r="2138" spans="1:10">
      <c r="A2138" s="4">
        <v>45967</v>
      </c>
      <c r="B2138" s="32"/>
      <c r="C2138" s="32"/>
      <c r="D2138" s="33">
        <v>14646610638</v>
      </c>
      <c r="E2138" s="33"/>
      <c r="F2138" s="33">
        <v>14646610638</v>
      </c>
      <c r="G2138" s="33">
        <v>2348419788</v>
      </c>
      <c r="H2138" s="32">
        <v>10699070700</v>
      </c>
      <c r="I2138" s="32">
        <v>13047490488</v>
      </c>
      <c r="J2138" s="33">
        <v>27694101126</v>
      </c>
    </row>
    <row r="2139" spans="1:10">
      <c r="A2139" s="4">
        <v>45968</v>
      </c>
      <c r="B2139" s="32"/>
      <c r="C2139" s="32"/>
      <c r="D2139" s="33">
        <v>16060973478.620001</v>
      </c>
      <c r="E2139" s="33"/>
      <c r="F2139" s="33">
        <v>16060973478.620001</v>
      </c>
      <c r="G2139" s="33">
        <v>2314607026</v>
      </c>
      <c r="H2139" s="32">
        <v>100000000</v>
      </c>
      <c r="I2139" s="32">
        <v>2414607026</v>
      </c>
      <c r="J2139" s="33">
        <v>18475580504.619999</v>
      </c>
    </row>
    <row r="2140" spans="1:10">
      <c r="A2140" s="4">
        <v>45969</v>
      </c>
      <c r="B2140" s="32"/>
      <c r="C2140" s="32"/>
      <c r="D2140" s="33"/>
      <c r="E2140" s="33"/>
      <c r="F2140" s="33"/>
      <c r="G2140" s="33">
        <v>31590349</v>
      </c>
      <c r="H2140" s="32"/>
      <c r="I2140" s="32">
        <v>31590349</v>
      </c>
      <c r="J2140" s="33">
        <v>31590349</v>
      </c>
    </row>
    <row r="2141" spans="1:10">
      <c r="A2141" s="4">
        <v>45970</v>
      </c>
      <c r="B2141" s="32"/>
      <c r="C2141" s="32"/>
      <c r="D2141" s="33"/>
      <c r="E2141" s="33"/>
      <c r="F2141" s="33"/>
      <c r="G2141" s="33">
        <v>3409800</v>
      </c>
      <c r="H2141" s="32"/>
      <c r="I2141" s="32">
        <v>3409800</v>
      </c>
      <c r="J2141" s="33">
        <v>3409800</v>
      </c>
    </row>
    <row r="2142" spans="1:10">
      <c r="A2142" s="4">
        <v>45971</v>
      </c>
      <c r="B2142" s="32"/>
      <c r="C2142" s="32"/>
      <c r="D2142" s="33">
        <v>10834609419.200001</v>
      </c>
      <c r="E2142" s="33">
        <v>6100</v>
      </c>
      <c r="F2142" s="33">
        <v>10834615519.200001</v>
      </c>
      <c r="G2142" s="33">
        <v>228324703</v>
      </c>
      <c r="H2142" s="32"/>
      <c r="I2142" s="32">
        <v>228324703</v>
      </c>
      <c r="J2142" s="33">
        <v>11062940222.200001</v>
      </c>
    </row>
    <row r="2143" spans="1:10">
      <c r="A2143" s="4">
        <v>45972</v>
      </c>
      <c r="B2143" s="32"/>
      <c r="C2143" s="32"/>
      <c r="D2143" s="33">
        <v>16091505370</v>
      </c>
      <c r="E2143" s="33"/>
      <c r="F2143" s="33">
        <v>16091505370</v>
      </c>
      <c r="G2143" s="33">
        <v>561006851</v>
      </c>
      <c r="H2143" s="32"/>
      <c r="I2143" s="32">
        <v>561006851</v>
      </c>
      <c r="J2143" s="33">
        <v>16652512221</v>
      </c>
    </row>
    <row r="2144" spans="1:10">
      <c r="A2144" s="4">
        <v>45973</v>
      </c>
      <c r="B2144" s="32"/>
      <c r="C2144" s="32"/>
      <c r="D2144" s="33">
        <v>13436710290.6</v>
      </c>
      <c r="E2144" s="33"/>
      <c r="F2144" s="33">
        <v>13436710290.6</v>
      </c>
      <c r="G2144" s="33">
        <v>2135509536</v>
      </c>
      <c r="H2144" s="32"/>
      <c r="I2144" s="32">
        <v>2135509536</v>
      </c>
      <c r="J2144" s="33">
        <v>15572219826.6</v>
      </c>
    </row>
    <row r="2145" spans="1:10">
      <c r="A2145" s="4">
        <v>45974</v>
      </c>
      <c r="B2145" s="32"/>
      <c r="C2145" s="32"/>
      <c r="D2145" s="33">
        <v>6232293927</v>
      </c>
      <c r="E2145" s="33">
        <v>2000000</v>
      </c>
      <c r="F2145" s="33">
        <v>6234293927</v>
      </c>
      <c r="G2145" s="33">
        <v>1288365464</v>
      </c>
      <c r="H2145" s="32"/>
      <c r="I2145" s="32">
        <v>1288365464</v>
      </c>
      <c r="J2145" s="33">
        <v>7522659391</v>
      </c>
    </row>
    <row r="2146" spans="1:10">
      <c r="A2146" s="4">
        <v>45975</v>
      </c>
      <c r="B2146" s="32"/>
      <c r="C2146" s="32"/>
      <c r="D2146" s="33">
        <v>9112405091</v>
      </c>
      <c r="E2146" s="33"/>
      <c r="F2146" s="33">
        <v>9112405091</v>
      </c>
      <c r="G2146" s="33">
        <v>3107273379</v>
      </c>
      <c r="H2146" s="32">
        <v>100000000</v>
      </c>
      <c r="I2146" s="32">
        <v>3207273379</v>
      </c>
      <c r="J2146" s="33">
        <v>12319678470</v>
      </c>
    </row>
    <row r="2147" spans="1:10">
      <c r="A2147" s="4">
        <v>45976</v>
      </c>
      <c r="B2147" s="32"/>
      <c r="C2147" s="32"/>
      <c r="D2147" s="33"/>
      <c r="E2147" s="33"/>
      <c r="F2147" s="33"/>
      <c r="G2147" s="33">
        <v>33052916</v>
      </c>
      <c r="H2147" s="32"/>
      <c r="I2147" s="32">
        <v>33052916</v>
      </c>
      <c r="J2147" s="33">
        <v>33052916</v>
      </c>
    </row>
    <row r="2148" spans="1:10">
      <c r="A2148" s="4">
        <v>45977</v>
      </c>
      <c r="B2148" s="32"/>
      <c r="C2148" s="32"/>
      <c r="D2148" s="33"/>
      <c r="E2148" s="33"/>
      <c r="F2148" s="33"/>
      <c r="G2148" s="33">
        <v>7560062</v>
      </c>
      <c r="H2148" s="32"/>
      <c r="I2148" s="32">
        <v>7560062</v>
      </c>
      <c r="J2148" s="33">
        <v>7560062</v>
      </c>
    </row>
    <row r="2149" spans="1:10">
      <c r="A2149" s="4">
        <v>45978</v>
      </c>
      <c r="B2149" s="32"/>
      <c r="C2149" s="32"/>
      <c r="D2149" s="33">
        <v>8783491049.7000008</v>
      </c>
      <c r="E2149" s="33"/>
      <c r="F2149" s="33">
        <v>8783491049.7000008</v>
      </c>
      <c r="G2149" s="33">
        <v>749849259</v>
      </c>
      <c r="H2149" s="32"/>
      <c r="I2149" s="32">
        <v>749849259</v>
      </c>
      <c r="J2149" s="33">
        <v>9533340308.7000008</v>
      </c>
    </row>
    <row r="2150" spans="1:10">
      <c r="A2150" s="4">
        <v>45979</v>
      </c>
      <c r="B2150" s="32"/>
      <c r="C2150" s="32"/>
      <c r="D2150" s="33">
        <v>11520601128.389999</v>
      </c>
      <c r="E2150" s="33"/>
      <c r="F2150" s="33">
        <v>11520601128.389999</v>
      </c>
      <c r="G2150" s="33">
        <v>530942799</v>
      </c>
      <c r="H2150" s="32"/>
      <c r="I2150" s="32">
        <v>530942799</v>
      </c>
      <c r="J2150" s="33">
        <v>12051543927.389999</v>
      </c>
    </row>
    <row r="2151" spans="1:10">
      <c r="A2151" s="4">
        <v>45980</v>
      </c>
      <c r="B2151" s="32"/>
      <c r="C2151" s="32"/>
      <c r="D2151" s="33">
        <v>13299467854</v>
      </c>
      <c r="E2151" s="33"/>
      <c r="F2151" s="33">
        <v>13299467854</v>
      </c>
      <c r="G2151" s="33">
        <v>2299806844</v>
      </c>
      <c r="H2151" s="32"/>
      <c r="I2151" s="32">
        <v>2299806844</v>
      </c>
      <c r="J2151" s="33">
        <v>15599274698</v>
      </c>
    </row>
    <row r="2152" spans="1:10">
      <c r="A2152" s="4">
        <v>45981</v>
      </c>
      <c r="B2152" s="32"/>
      <c r="C2152" s="32"/>
      <c r="D2152" s="33">
        <v>9039214592</v>
      </c>
      <c r="E2152" s="33"/>
      <c r="F2152" s="33">
        <v>9039214592</v>
      </c>
      <c r="G2152" s="33">
        <v>2503587302</v>
      </c>
      <c r="H2152" s="32"/>
      <c r="I2152" s="32">
        <v>2503587302</v>
      </c>
      <c r="J2152" s="33">
        <v>11542801894</v>
      </c>
    </row>
    <row r="2153" spans="1:10">
      <c r="A2153" s="4">
        <v>45982</v>
      </c>
      <c r="B2153" s="32"/>
      <c r="C2153" s="32"/>
      <c r="D2153" s="33">
        <v>9907116728</v>
      </c>
      <c r="E2153" s="33"/>
      <c r="F2153" s="33">
        <v>9907116728</v>
      </c>
      <c r="G2153" s="33">
        <v>2724643020</v>
      </c>
      <c r="H2153" s="32">
        <v>100000000</v>
      </c>
      <c r="I2153" s="32">
        <v>2824643020</v>
      </c>
      <c r="J2153" s="33">
        <v>12731759748</v>
      </c>
    </row>
    <row r="2154" spans="1:10">
      <c r="A2154" s="4">
        <v>45983</v>
      </c>
      <c r="B2154" s="32"/>
      <c r="C2154" s="32"/>
      <c r="D2154" s="33"/>
      <c r="E2154" s="33"/>
      <c r="F2154" s="33"/>
      <c r="G2154" s="33">
        <v>21743791</v>
      </c>
      <c r="H2154" s="32"/>
      <c r="I2154" s="32">
        <v>21743791</v>
      </c>
      <c r="J2154" s="33">
        <v>21743791</v>
      </c>
    </row>
    <row r="2155" spans="1:10">
      <c r="A2155" s="4">
        <v>45984</v>
      </c>
      <c r="B2155" s="32"/>
      <c r="C2155" s="32"/>
      <c r="D2155" s="33"/>
      <c r="E2155" s="33"/>
      <c r="F2155" s="33"/>
      <c r="G2155" s="33"/>
      <c r="H2155" s="32"/>
      <c r="I2155" s="32" t="s">
        <v>47</v>
      </c>
      <c r="J2155" s="33" t="s">
        <v>79</v>
      </c>
    </row>
    <row r="2156" spans="1:10">
      <c r="A2156" s="4">
        <v>45985</v>
      </c>
      <c r="B2156" s="32"/>
      <c r="C2156" s="32"/>
      <c r="D2156" s="33">
        <v>10238590106</v>
      </c>
      <c r="E2156" s="33"/>
      <c r="F2156" s="33">
        <v>10238590106</v>
      </c>
      <c r="G2156" s="33">
        <v>533904417</v>
      </c>
      <c r="H2156" s="32"/>
      <c r="I2156" s="32">
        <v>533904417</v>
      </c>
      <c r="J2156" s="33">
        <v>10772494523</v>
      </c>
    </row>
    <row r="2157" spans="1:10">
      <c r="A2157" s="4">
        <v>45986</v>
      </c>
      <c r="B2157" s="32"/>
      <c r="C2157" s="32"/>
      <c r="D2157" s="33">
        <v>12564554267.09</v>
      </c>
      <c r="E2157" s="33"/>
      <c r="F2157" s="33">
        <v>12564554267.09</v>
      </c>
      <c r="G2157" s="33">
        <v>298180999</v>
      </c>
      <c r="H2157" s="32"/>
      <c r="I2157" s="32">
        <v>298180999</v>
      </c>
      <c r="J2157" s="33">
        <v>12862735266.09</v>
      </c>
    </row>
    <row r="2158" spans="1:10">
      <c r="A2158" s="4">
        <v>45987</v>
      </c>
      <c r="B2158" s="32"/>
      <c r="C2158" s="32"/>
      <c r="D2158" s="33">
        <v>9395267296</v>
      </c>
      <c r="E2158" s="33"/>
      <c r="F2158" s="33">
        <v>9395267296</v>
      </c>
      <c r="G2158" s="33">
        <v>377038887</v>
      </c>
      <c r="H2158" s="32"/>
      <c r="I2158" s="32">
        <v>377038887</v>
      </c>
      <c r="J2158" s="33">
        <v>9772306183</v>
      </c>
    </row>
    <row r="2159" spans="1:10">
      <c r="A2159" s="4">
        <v>45988</v>
      </c>
      <c r="B2159" s="32"/>
      <c r="C2159" s="32"/>
      <c r="D2159" s="33">
        <v>7021941285.3299999</v>
      </c>
      <c r="E2159" s="33"/>
      <c r="F2159" s="33">
        <v>7021941285.3299999</v>
      </c>
      <c r="G2159" s="33">
        <v>51940502</v>
      </c>
      <c r="H2159" s="32"/>
      <c r="I2159" s="32">
        <v>51940502</v>
      </c>
      <c r="J2159" s="33">
        <v>7073881787.3299999</v>
      </c>
    </row>
    <row r="2160" spans="1:10">
      <c r="A2160" s="4">
        <v>45989</v>
      </c>
      <c r="B2160" s="32"/>
      <c r="C2160" s="32"/>
      <c r="D2160" s="33">
        <v>4749729732.4799995</v>
      </c>
      <c r="E2160" s="33">
        <v>474506572.39999998</v>
      </c>
      <c r="F2160" s="33">
        <v>5224236304.8800001</v>
      </c>
      <c r="G2160" s="33">
        <v>139437559</v>
      </c>
      <c r="H2160" s="32">
        <v>100000000</v>
      </c>
      <c r="I2160" s="32">
        <v>239437559</v>
      </c>
      <c r="J2160" s="33">
        <v>5463673863.8800001</v>
      </c>
    </row>
    <row r="2161" spans="1:10">
      <c r="A2161" s="4">
        <v>45990</v>
      </c>
      <c r="B2161" s="32"/>
      <c r="C2161" s="32"/>
      <c r="D2161" s="33"/>
      <c r="E2161" s="33"/>
      <c r="F2161" s="33"/>
      <c r="G2161" s="33">
        <v>1352650</v>
      </c>
      <c r="H2161" s="32"/>
      <c r="I2161" s="32">
        <v>1352650</v>
      </c>
      <c r="J2161" s="33">
        <v>1352650</v>
      </c>
    </row>
    <row r="2162" spans="1:10">
      <c r="A2162" s="4">
        <v>45991</v>
      </c>
      <c r="B2162" s="32"/>
      <c r="C2162" s="32"/>
      <c r="D2162" s="33"/>
      <c r="E2162" s="33"/>
      <c r="F2162" s="33"/>
      <c r="G2162" s="33" t="s">
        <v>73</v>
      </c>
      <c r="H2162" s="32"/>
      <c r="I2162" s="32" t="s">
        <v>47</v>
      </c>
      <c r="J2162" s="33" t="s">
        <v>79</v>
      </c>
    </row>
    <row r="2163" spans="1:10">
      <c r="A2163" s="4">
        <v>45992</v>
      </c>
      <c r="B2163" s="32"/>
      <c r="C2163" s="32"/>
      <c r="D2163" s="32">
        <v>7258538943</v>
      </c>
      <c r="E2163" s="32"/>
      <c r="F2163" s="32">
        <v>7258538943</v>
      </c>
      <c r="G2163" s="32">
        <v>2084641578</v>
      </c>
      <c r="H2163" s="32"/>
      <c r="I2163" s="32">
        <v>2084641578</v>
      </c>
      <c r="J2163" s="32">
        <v>9343180521</v>
      </c>
    </row>
    <row r="2164" spans="1:10">
      <c r="A2164" s="4">
        <v>45993</v>
      </c>
      <c r="B2164" s="32"/>
      <c r="C2164" s="32"/>
      <c r="D2164" s="32">
        <v>7491865836</v>
      </c>
      <c r="E2164" s="32"/>
      <c r="F2164" s="32">
        <v>7491865836</v>
      </c>
      <c r="G2164" s="32">
        <v>787401747</v>
      </c>
      <c r="H2164" s="32"/>
      <c r="I2164" s="32">
        <v>787401747</v>
      </c>
      <c r="J2164" s="32">
        <v>8279267583</v>
      </c>
    </row>
    <row r="2165" spans="1:10">
      <c r="A2165" s="4">
        <v>45994</v>
      </c>
      <c r="B2165" s="32"/>
      <c r="C2165" s="32"/>
      <c r="D2165" s="32">
        <v>9993707569</v>
      </c>
      <c r="E2165" s="32"/>
      <c r="F2165" s="32">
        <v>9993707569</v>
      </c>
      <c r="G2165" s="32">
        <v>438061409</v>
      </c>
      <c r="H2165" s="32"/>
      <c r="I2165" s="32">
        <v>438061409</v>
      </c>
      <c r="J2165" s="32">
        <v>10431768978</v>
      </c>
    </row>
    <row r="2166" spans="1:10">
      <c r="A2166" s="4">
        <v>45995</v>
      </c>
      <c r="B2166" s="32"/>
      <c r="C2166" s="32"/>
      <c r="D2166" s="32"/>
      <c r="E2166" s="32"/>
      <c r="F2166" s="32"/>
      <c r="G2166" s="32">
        <v>133154092</v>
      </c>
      <c r="H2166" s="32"/>
      <c r="I2166" s="32">
        <v>133154092</v>
      </c>
      <c r="J2166" s="32">
        <v>133154092</v>
      </c>
    </row>
    <row r="2167" spans="1:10">
      <c r="A2167" s="4">
        <v>45996</v>
      </c>
      <c r="B2167" s="32"/>
      <c r="C2167" s="32"/>
      <c r="D2167" s="32">
        <v>13877534429.74</v>
      </c>
      <c r="E2167" s="32"/>
      <c r="F2167" s="32">
        <v>13877534429.74</v>
      </c>
      <c r="G2167" s="32">
        <v>448286268</v>
      </c>
      <c r="H2167" s="32">
        <v>9226908000</v>
      </c>
      <c r="I2167" s="32">
        <v>9675194268</v>
      </c>
      <c r="J2167" s="32">
        <v>23552728697.740002</v>
      </c>
    </row>
    <row r="2168" spans="1:10">
      <c r="A2168" s="4">
        <v>45997</v>
      </c>
      <c r="B2168" s="32"/>
      <c r="C2168" s="32"/>
      <c r="D2168" s="32"/>
      <c r="E2168" s="32"/>
      <c r="F2168" s="32"/>
      <c r="G2168" s="32">
        <v>26323655</v>
      </c>
      <c r="H2168" s="32"/>
      <c r="I2168" s="32">
        <v>26323655</v>
      </c>
      <c r="J2168" s="32">
        <v>26323655</v>
      </c>
    </row>
    <row r="2169" spans="1:10">
      <c r="A2169" s="4">
        <v>45998</v>
      </c>
      <c r="B2169" s="32"/>
      <c r="C2169" s="32"/>
      <c r="D2169" s="32"/>
      <c r="E2169" s="32"/>
      <c r="F2169" s="32"/>
      <c r="G2169" s="32">
        <v>96370780</v>
      </c>
      <c r="H2169" s="32"/>
      <c r="I2169" s="32">
        <v>96370780</v>
      </c>
      <c r="J2169" s="32">
        <v>96370780</v>
      </c>
    </row>
    <row r="2170" spans="1:10">
      <c r="A2170" s="4">
        <v>45999</v>
      </c>
      <c r="B2170" s="32"/>
      <c r="C2170" s="32"/>
      <c r="D2170" s="32">
        <v>13954382184</v>
      </c>
      <c r="E2170" s="32"/>
      <c r="F2170" s="32">
        <v>13954382184</v>
      </c>
      <c r="G2170" s="32">
        <v>428934221</v>
      </c>
      <c r="H2170" s="32"/>
      <c r="I2170" s="32">
        <v>428934221</v>
      </c>
      <c r="J2170" s="32">
        <v>14383316405</v>
      </c>
    </row>
    <row r="2171" spans="1:10">
      <c r="A2171" s="4">
        <v>46000</v>
      </c>
      <c r="B2171" s="32"/>
      <c r="C2171" s="32"/>
      <c r="D2171" s="32">
        <v>17940611580</v>
      </c>
      <c r="E2171" s="32"/>
      <c r="F2171" s="32">
        <v>17940611580</v>
      </c>
      <c r="G2171" s="32">
        <v>442654419</v>
      </c>
      <c r="H2171" s="32"/>
      <c r="I2171" s="32">
        <v>442654419</v>
      </c>
      <c r="J2171" s="32">
        <v>18383265999</v>
      </c>
    </row>
    <row r="2172" spans="1:10">
      <c r="A2172" s="4">
        <v>46001</v>
      </c>
      <c r="B2172" s="32"/>
      <c r="C2172" s="32"/>
      <c r="D2172" s="32">
        <v>15165227457.290001</v>
      </c>
      <c r="E2172" s="32"/>
      <c r="F2172" s="32">
        <v>15165227457.290001</v>
      </c>
      <c r="G2172" s="32">
        <v>2712321760</v>
      </c>
      <c r="H2172" s="32"/>
      <c r="I2172" s="32">
        <v>2712321760</v>
      </c>
      <c r="J2172" s="32">
        <v>17877549217.290001</v>
      </c>
    </row>
    <row r="2173" spans="1:10">
      <c r="A2173" s="4">
        <v>46002</v>
      </c>
      <c r="B2173" s="32"/>
      <c r="C2173" s="32">
        <v>3000000000</v>
      </c>
      <c r="D2173" s="32">
        <v>5841928782</v>
      </c>
      <c r="E2173" s="32"/>
      <c r="F2173" s="32">
        <v>8841928782</v>
      </c>
      <c r="G2173" s="32">
        <v>2812782967</v>
      </c>
      <c r="H2173" s="32"/>
      <c r="I2173" s="32">
        <v>2812782967</v>
      </c>
      <c r="J2173" s="32">
        <v>11654711749</v>
      </c>
    </row>
    <row r="2174" spans="1:10">
      <c r="A2174" s="4">
        <v>46003</v>
      </c>
      <c r="B2174" s="32"/>
      <c r="C2174" s="32">
        <v>3000000000</v>
      </c>
      <c r="D2174" s="32">
        <v>6486358218</v>
      </c>
      <c r="E2174" s="32">
        <v>2000000</v>
      </c>
      <c r="F2174" s="32">
        <v>9488358218</v>
      </c>
      <c r="G2174" s="32">
        <v>1079329799</v>
      </c>
      <c r="H2174" s="32">
        <v>100000000</v>
      </c>
      <c r="I2174" s="32">
        <v>1179329799</v>
      </c>
      <c r="J2174" s="32">
        <v>10667688017</v>
      </c>
    </row>
    <row r="2175" spans="1:10">
      <c r="A2175" s="4">
        <v>46004</v>
      </c>
      <c r="B2175" s="32"/>
      <c r="C2175" s="32" t="s">
        <v>54</v>
      </c>
      <c r="D2175" s="32"/>
      <c r="E2175" s="32"/>
      <c r="F2175" s="32"/>
      <c r="G2175" s="32">
        <v>197273050</v>
      </c>
      <c r="H2175" s="32"/>
      <c r="I2175" s="32">
        <v>197273050</v>
      </c>
      <c r="J2175" s="32">
        <v>197273050</v>
      </c>
    </row>
    <row r="2176" spans="1:10">
      <c r="A2176" s="4">
        <v>46005</v>
      </c>
      <c r="B2176" s="32"/>
      <c r="C2176" s="32" t="s">
        <v>54</v>
      </c>
      <c r="D2176" s="32"/>
      <c r="E2176" s="32"/>
      <c r="F2176" s="32"/>
      <c r="G2176" s="32">
        <v>2083150</v>
      </c>
      <c r="H2176" s="32"/>
      <c r="I2176" s="32">
        <v>2083150</v>
      </c>
      <c r="J2176" s="32">
        <v>2083150</v>
      </c>
    </row>
    <row r="2177" spans="1:10">
      <c r="A2177" s="4">
        <v>46006</v>
      </c>
      <c r="B2177" s="32"/>
      <c r="C2177" s="32">
        <v>2880401318.1900001</v>
      </c>
      <c r="D2177" s="32">
        <v>7772282903.8100004</v>
      </c>
      <c r="E2177" s="32"/>
      <c r="F2177" s="32">
        <v>10652684222</v>
      </c>
      <c r="G2177" s="32">
        <v>823081346</v>
      </c>
      <c r="H2177" s="32"/>
      <c r="I2177" s="32">
        <v>823081346</v>
      </c>
      <c r="J2177" s="32">
        <v>11475765568</v>
      </c>
    </row>
    <row r="2178" spans="1:10">
      <c r="A2178" s="4">
        <v>46007</v>
      </c>
      <c r="B2178" s="32"/>
      <c r="C2178" s="32"/>
      <c r="D2178" s="32">
        <v>13889288178</v>
      </c>
      <c r="E2178" s="32"/>
      <c r="F2178" s="32">
        <v>13889288178</v>
      </c>
      <c r="G2178" s="32">
        <v>774536619</v>
      </c>
      <c r="H2178" s="32"/>
      <c r="I2178" s="32">
        <v>774536619</v>
      </c>
      <c r="J2178" s="32">
        <v>14663824797</v>
      </c>
    </row>
    <row r="2179" spans="1:10">
      <c r="A2179" s="4">
        <v>46008</v>
      </c>
      <c r="B2179" s="32"/>
      <c r="C2179" s="32"/>
      <c r="D2179" s="32">
        <v>9261406533</v>
      </c>
      <c r="E2179" s="32"/>
      <c r="F2179" s="32">
        <v>9261406533</v>
      </c>
      <c r="G2179" s="32">
        <v>904044145</v>
      </c>
      <c r="H2179" s="32"/>
      <c r="I2179" s="32">
        <v>904044145</v>
      </c>
      <c r="J2179" s="32">
        <v>10165450678</v>
      </c>
    </row>
    <row r="2180" spans="1:10">
      <c r="A2180" s="4">
        <v>46009</v>
      </c>
      <c r="B2180" s="32"/>
      <c r="C2180" s="32"/>
      <c r="D2180" s="32">
        <v>16320557829</v>
      </c>
      <c r="E2180" s="32"/>
      <c r="F2180" s="32">
        <v>16320557829</v>
      </c>
      <c r="G2180" s="32">
        <v>410342094</v>
      </c>
      <c r="H2180" s="32"/>
      <c r="I2180" s="32">
        <v>410342094</v>
      </c>
      <c r="J2180" s="32">
        <v>16730899923</v>
      </c>
    </row>
    <row r="2181" spans="1:10">
      <c r="A2181" s="4">
        <v>46010</v>
      </c>
      <c r="B2181" s="32"/>
      <c r="C2181" s="32"/>
      <c r="D2181" s="32">
        <v>8896467251</v>
      </c>
      <c r="E2181" s="32"/>
      <c r="F2181" s="32">
        <v>8896467251</v>
      </c>
      <c r="G2181" s="32">
        <v>458547625</v>
      </c>
      <c r="H2181" s="32">
        <v>100000000</v>
      </c>
      <c r="I2181" s="32">
        <v>558547625</v>
      </c>
      <c r="J2181" s="32">
        <v>9455014876</v>
      </c>
    </row>
    <row r="2182" spans="1:10">
      <c r="A2182" s="4">
        <v>46011</v>
      </c>
      <c r="B2182" s="32"/>
      <c r="C2182" s="32"/>
      <c r="D2182" s="32"/>
      <c r="E2182" s="32"/>
      <c r="F2182" s="32"/>
      <c r="G2182" s="32">
        <v>33563993</v>
      </c>
      <c r="H2182" s="32"/>
      <c r="I2182" s="32">
        <v>33563993</v>
      </c>
      <c r="J2182" s="32">
        <v>33563993</v>
      </c>
    </row>
    <row r="2183" spans="1:10">
      <c r="A2183" s="4">
        <v>46012</v>
      </c>
      <c r="B2183" s="32"/>
      <c r="C2183" s="32"/>
      <c r="D2183" s="32"/>
      <c r="E2183" s="32"/>
      <c r="F2183" s="32"/>
      <c r="G2183" s="32">
        <v>3304700</v>
      </c>
      <c r="H2183" s="32"/>
      <c r="I2183" s="32">
        <v>3304700</v>
      </c>
      <c r="J2183" s="32">
        <v>3304700</v>
      </c>
    </row>
    <row r="2184" spans="1:10">
      <c r="A2184" s="4">
        <v>46013</v>
      </c>
      <c r="B2184" s="32"/>
      <c r="C2184" s="32"/>
      <c r="D2184" s="32">
        <v>11397240537</v>
      </c>
      <c r="E2184" s="32"/>
      <c r="F2184" s="32">
        <v>11397240537</v>
      </c>
      <c r="G2184" s="32">
        <v>740435437</v>
      </c>
      <c r="H2184" s="32"/>
      <c r="I2184" s="32">
        <v>740435437</v>
      </c>
      <c r="J2184" s="32">
        <v>12137675974</v>
      </c>
    </row>
    <row r="2185" spans="1:10">
      <c r="A2185" s="4">
        <v>46014</v>
      </c>
      <c r="B2185" s="32"/>
      <c r="C2185" s="32"/>
      <c r="D2185" s="32">
        <v>14450193521</v>
      </c>
      <c r="E2185" s="32"/>
      <c r="F2185" s="32">
        <v>14450193521</v>
      </c>
      <c r="G2185" s="32">
        <v>341549771</v>
      </c>
      <c r="H2185" s="32"/>
      <c r="I2185" s="32">
        <v>341549771</v>
      </c>
      <c r="J2185" s="32">
        <v>14791743292</v>
      </c>
    </row>
    <row r="2186" spans="1:10">
      <c r="A2186" s="4">
        <v>46015</v>
      </c>
      <c r="B2186" s="32"/>
      <c r="C2186" s="32"/>
      <c r="D2186" s="32">
        <v>7546819396</v>
      </c>
      <c r="E2186" s="32"/>
      <c r="F2186" s="32">
        <v>7546819396</v>
      </c>
      <c r="G2186" s="32">
        <v>395543841</v>
      </c>
      <c r="H2186" s="32"/>
      <c r="I2186" s="32">
        <v>395543841</v>
      </c>
      <c r="J2186" s="32">
        <v>7942363237</v>
      </c>
    </row>
    <row r="2187" spans="1:10">
      <c r="A2187" s="4">
        <v>46016</v>
      </c>
      <c r="B2187" s="32"/>
      <c r="C2187" s="32"/>
      <c r="D2187" s="32"/>
      <c r="E2187" s="32"/>
      <c r="F2187" s="32"/>
      <c r="G2187" s="32">
        <v>150583550</v>
      </c>
      <c r="H2187" s="32"/>
      <c r="I2187" s="32">
        <v>150583550</v>
      </c>
      <c r="J2187" s="32">
        <v>150583550</v>
      </c>
    </row>
    <row r="2188" spans="1:10">
      <c r="A2188" s="4">
        <v>46017</v>
      </c>
      <c r="B2188" s="32"/>
      <c r="C2188" s="32"/>
      <c r="D2188" s="32">
        <v>12607331092.459999</v>
      </c>
      <c r="E2188" s="32"/>
      <c r="F2188" s="32">
        <v>12607331092.459999</v>
      </c>
      <c r="G2188" s="32">
        <v>132292924</v>
      </c>
      <c r="H2188" s="32">
        <v>100000000</v>
      </c>
      <c r="I2188" s="32">
        <v>232292924</v>
      </c>
      <c r="J2188" s="32">
        <v>12839624016.459999</v>
      </c>
    </row>
    <row r="2189" spans="1:10">
      <c r="A2189" s="4">
        <v>46018</v>
      </c>
      <c r="B2189" s="32"/>
      <c r="C2189" s="32"/>
      <c r="D2189" s="32"/>
      <c r="E2189" s="32"/>
      <c r="F2189" s="32"/>
      <c r="G2189" s="32">
        <v>12045948</v>
      </c>
      <c r="H2189" s="32"/>
      <c r="I2189" s="32">
        <v>12045948</v>
      </c>
      <c r="J2189" s="32">
        <v>12045948</v>
      </c>
    </row>
    <row r="2190" spans="1:10">
      <c r="A2190" s="4">
        <v>46019</v>
      </c>
      <c r="B2190" s="32"/>
      <c r="C2190" s="32"/>
      <c r="D2190" s="32"/>
      <c r="E2190" s="32"/>
      <c r="F2190" s="32"/>
      <c r="G2190" s="32">
        <v>23235334</v>
      </c>
      <c r="H2190" s="32"/>
      <c r="I2190" s="32">
        <v>23235334</v>
      </c>
      <c r="J2190" s="32">
        <v>23235334</v>
      </c>
    </row>
    <row r="2191" spans="1:10">
      <c r="A2191" s="4">
        <v>46020</v>
      </c>
      <c r="B2191" s="32"/>
      <c r="C2191" s="32"/>
      <c r="D2191" s="32">
        <v>9202394900</v>
      </c>
      <c r="E2191" s="32"/>
      <c r="F2191" s="32">
        <v>9202394900</v>
      </c>
      <c r="G2191" s="32">
        <v>470552191</v>
      </c>
      <c r="H2191" s="32"/>
      <c r="I2191" s="32">
        <v>470552191</v>
      </c>
      <c r="J2191" s="32">
        <v>9672947091</v>
      </c>
    </row>
    <row r="2192" spans="1:10">
      <c r="A2192" s="4">
        <v>46021</v>
      </c>
      <c r="B2192" s="32"/>
      <c r="C2192" s="32"/>
      <c r="D2192" s="32">
        <v>17726338857</v>
      </c>
      <c r="E2192" s="32" t="s">
        <v>54</v>
      </c>
      <c r="F2192" s="32">
        <v>17726338857</v>
      </c>
      <c r="G2192" s="32">
        <v>2714687255</v>
      </c>
      <c r="H2192" s="32"/>
      <c r="I2192" s="32">
        <v>2714687255</v>
      </c>
      <c r="J2192" s="32">
        <v>20441026112</v>
      </c>
    </row>
    <row r="2193" spans="1:14">
      <c r="A2193" s="4">
        <v>46022</v>
      </c>
      <c r="B2193" s="32"/>
      <c r="C2193" s="32"/>
      <c r="D2193" s="32">
        <v>7924388898.96</v>
      </c>
      <c r="E2193" s="32">
        <v>2005088897.9300001</v>
      </c>
      <c r="F2193" s="32">
        <v>9929477796.8899994</v>
      </c>
      <c r="G2193" s="32">
        <v>581390584</v>
      </c>
      <c r="H2193" s="32"/>
      <c r="I2193" s="32">
        <v>581390584</v>
      </c>
      <c r="J2193" s="32">
        <v>10510868380.889999</v>
      </c>
    </row>
    <row r="2194" spans="1:14" ht="15.75">
      <c r="A2194" s="4">
        <v>46023</v>
      </c>
      <c r="B2194" s="32"/>
      <c r="C2194" s="34" t="s">
        <v>84</v>
      </c>
      <c r="D2194" s="34">
        <v>4890339408</v>
      </c>
      <c r="E2194" s="34" t="s">
        <v>85</v>
      </c>
      <c r="F2194" s="34">
        <v>4890339408</v>
      </c>
      <c r="G2194" s="34">
        <v>269947394</v>
      </c>
      <c r="H2194" s="34">
        <v>1500000000</v>
      </c>
      <c r="I2194" s="34">
        <v>1769947394</v>
      </c>
      <c r="J2194" s="34">
        <v>6660286802</v>
      </c>
      <c r="K2194" s="22"/>
      <c r="L2194" s="22"/>
      <c r="M2194" s="22"/>
      <c r="N2194" s="17"/>
    </row>
    <row r="2195" spans="1:14" ht="30.75">
      <c r="A2195" s="4">
        <v>46024</v>
      </c>
      <c r="B2195" s="32"/>
      <c r="C2195" s="34" t="s">
        <v>84</v>
      </c>
      <c r="D2195" s="34">
        <v>8393016362</v>
      </c>
      <c r="E2195" s="35" t="s">
        <v>85</v>
      </c>
      <c r="F2195" s="34">
        <v>8393016362</v>
      </c>
      <c r="G2195" s="34">
        <v>470032835</v>
      </c>
      <c r="H2195" s="34">
        <v>100000000</v>
      </c>
      <c r="I2195" s="34">
        <v>570032835</v>
      </c>
      <c r="J2195" s="34">
        <v>8963049197</v>
      </c>
      <c r="K2195" s="22"/>
      <c r="L2195" s="22"/>
      <c r="M2195" s="22"/>
      <c r="N2195" s="17"/>
    </row>
    <row r="2196" spans="1:14" ht="15.75">
      <c r="A2196" s="4">
        <v>46025</v>
      </c>
      <c r="B2196" s="32"/>
      <c r="C2196" s="34" t="s">
        <v>84</v>
      </c>
      <c r="D2196" s="36">
        <v>14082447234</v>
      </c>
      <c r="E2196" s="34" t="s">
        <v>85</v>
      </c>
      <c r="F2196" s="34" t="s">
        <v>86</v>
      </c>
      <c r="G2196" s="34">
        <v>904700</v>
      </c>
      <c r="H2196" s="34" t="s">
        <v>85</v>
      </c>
      <c r="I2196" s="34">
        <v>904700</v>
      </c>
      <c r="J2196" s="34">
        <v>904700</v>
      </c>
      <c r="K2196" s="22"/>
      <c r="L2196" s="22"/>
      <c r="M2196" s="22"/>
      <c r="N2196" s="17"/>
    </row>
    <row r="2197" spans="1:14" ht="15.75">
      <c r="A2197" s="4">
        <v>46026</v>
      </c>
      <c r="B2197" s="32"/>
      <c r="C2197" s="34" t="s">
        <v>84</v>
      </c>
      <c r="D2197" s="34" t="s">
        <v>84</v>
      </c>
      <c r="E2197" s="34" t="s">
        <v>85</v>
      </c>
      <c r="F2197" s="34" t="s">
        <v>86</v>
      </c>
      <c r="G2197" s="34" t="s">
        <v>84</v>
      </c>
      <c r="H2197" s="34" t="s">
        <v>85</v>
      </c>
      <c r="I2197" s="34" t="s">
        <v>87</v>
      </c>
      <c r="J2197" s="34" t="s">
        <v>88</v>
      </c>
      <c r="K2197" s="22"/>
      <c r="L2197" s="22"/>
      <c r="M2197" s="22"/>
      <c r="N2197" s="17"/>
    </row>
    <row r="2198" spans="1:14" ht="15.75">
      <c r="A2198" s="4">
        <v>46027</v>
      </c>
      <c r="B2198" s="32"/>
      <c r="C2198" s="34" t="s">
        <v>84</v>
      </c>
      <c r="D2198" s="34">
        <v>12452393289.950001</v>
      </c>
      <c r="E2198" s="34" t="s">
        <v>85</v>
      </c>
      <c r="F2198" s="34">
        <v>12452393289.950001</v>
      </c>
      <c r="G2198" s="34">
        <v>461165081</v>
      </c>
      <c r="H2198" s="37" t="s">
        <v>85</v>
      </c>
      <c r="I2198" s="34">
        <v>461165081</v>
      </c>
      <c r="J2198" s="34">
        <v>12913558370.950001</v>
      </c>
      <c r="K2198" s="22"/>
      <c r="L2198" s="22"/>
      <c r="M2198" s="22"/>
      <c r="N2198" s="17"/>
    </row>
    <row r="2199" spans="1:14" ht="15.75">
      <c r="A2199" s="4">
        <v>46028</v>
      </c>
      <c r="B2199" s="32"/>
      <c r="C2199" s="34" t="s">
        <v>84</v>
      </c>
      <c r="D2199" s="34">
        <v>9658866643</v>
      </c>
      <c r="E2199" s="34" t="s">
        <v>85</v>
      </c>
      <c r="F2199" s="34">
        <v>9658866643</v>
      </c>
      <c r="G2199" s="34">
        <v>938825960</v>
      </c>
      <c r="H2199" s="34">
        <v>9674202500</v>
      </c>
      <c r="I2199" s="34">
        <v>10613028460</v>
      </c>
      <c r="J2199" s="34">
        <v>20271895103</v>
      </c>
      <c r="K2199" s="22"/>
      <c r="L2199" s="22"/>
      <c r="M2199" s="22"/>
      <c r="N2199" s="17"/>
    </row>
    <row r="2200" spans="1:14" ht="15.75">
      <c r="A2200" s="4">
        <v>46029</v>
      </c>
      <c r="B2200" s="32"/>
      <c r="C2200" s="34" t="s">
        <v>84</v>
      </c>
      <c r="D2200" s="34">
        <v>9787236471</v>
      </c>
      <c r="E2200" s="34">
        <v>511740</v>
      </c>
      <c r="F2200" s="34">
        <v>9787748211</v>
      </c>
      <c r="G2200" s="34">
        <v>2417881721</v>
      </c>
      <c r="H2200" s="34" t="s">
        <v>85</v>
      </c>
      <c r="I2200" s="34">
        <v>2417881721</v>
      </c>
      <c r="J2200" s="34">
        <v>12205629932</v>
      </c>
      <c r="K2200" s="22"/>
      <c r="L2200" s="22"/>
      <c r="M2200" s="22"/>
      <c r="N2200" s="17"/>
    </row>
    <row r="2201" spans="1:14" ht="15.75">
      <c r="A2201" s="4">
        <v>46030</v>
      </c>
      <c r="B2201" s="32"/>
      <c r="C2201" s="34" t="s">
        <v>84</v>
      </c>
      <c r="D2201" s="34">
        <v>8890158367</v>
      </c>
      <c r="E2201" s="34">
        <v>2174.4</v>
      </c>
      <c r="F2201" s="34">
        <v>8890160541.3999996</v>
      </c>
      <c r="G2201" s="34">
        <v>473211019.77999997</v>
      </c>
      <c r="H2201" s="34" t="s">
        <v>85</v>
      </c>
      <c r="I2201" s="34">
        <v>473211019.77999997</v>
      </c>
      <c r="J2201" s="34">
        <v>9363371561.1800003</v>
      </c>
      <c r="K2201" s="22"/>
      <c r="L2201" s="22"/>
      <c r="M2201" s="22"/>
      <c r="N2201" s="17"/>
    </row>
    <row r="2202" spans="1:14" ht="15.75">
      <c r="A2202" s="4">
        <v>46031</v>
      </c>
      <c r="B2202" s="32"/>
      <c r="C2202" s="34" t="s">
        <v>84</v>
      </c>
      <c r="D2202" s="38">
        <v>16647634115</v>
      </c>
      <c r="E2202" s="38" t="s">
        <v>85</v>
      </c>
      <c r="F2202" s="38">
        <v>16647634115</v>
      </c>
      <c r="G2202" s="38">
        <v>409185554</v>
      </c>
      <c r="H2202" s="38">
        <v>100000000</v>
      </c>
      <c r="I2202" s="38">
        <v>509185554</v>
      </c>
      <c r="J2202" s="38">
        <v>17156819669</v>
      </c>
      <c r="K2202" s="22"/>
      <c r="L2202" s="23"/>
      <c r="M2202" s="22"/>
      <c r="N2202" s="17"/>
    </row>
    <row r="2203" spans="1:14" ht="15.75">
      <c r="A2203" s="4">
        <v>46032</v>
      </c>
      <c r="B2203" s="32"/>
      <c r="C2203" s="34" t="s">
        <v>84</v>
      </c>
      <c r="D2203" s="34" t="s">
        <v>84</v>
      </c>
      <c r="E2203" s="34" t="s">
        <v>85</v>
      </c>
      <c r="F2203" s="38" t="s">
        <v>86</v>
      </c>
      <c r="G2203" s="34">
        <v>173006816</v>
      </c>
      <c r="H2203" s="34" t="s">
        <v>85</v>
      </c>
      <c r="I2203" s="38">
        <v>173006816</v>
      </c>
      <c r="J2203" s="38">
        <v>173006816</v>
      </c>
      <c r="K2203" s="22"/>
      <c r="L2203" s="22"/>
      <c r="M2203" s="22"/>
      <c r="N2203" s="17"/>
    </row>
    <row r="2204" spans="1:14" ht="15.75">
      <c r="A2204" s="4">
        <v>46033</v>
      </c>
      <c r="B2204" s="32"/>
      <c r="C2204" s="34" t="s">
        <v>84</v>
      </c>
      <c r="D2204" s="34" t="s">
        <v>84</v>
      </c>
      <c r="E2204" s="34" t="s">
        <v>85</v>
      </c>
      <c r="F2204" s="38" t="s">
        <v>86</v>
      </c>
      <c r="G2204" s="34">
        <v>8889775</v>
      </c>
      <c r="H2204" s="34" t="s">
        <v>85</v>
      </c>
      <c r="I2204" s="38">
        <v>8889775</v>
      </c>
      <c r="J2204" s="34">
        <v>8889775</v>
      </c>
      <c r="K2204" s="22"/>
      <c r="L2204" s="22"/>
      <c r="M2204" s="22"/>
      <c r="N2204" s="17"/>
    </row>
    <row r="2205" spans="1:14" ht="15.75">
      <c r="A2205" s="4">
        <v>46034</v>
      </c>
      <c r="B2205" s="32"/>
      <c r="C2205" s="34" t="s">
        <v>84</v>
      </c>
      <c r="D2205" s="34">
        <v>8168811818</v>
      </c>
      <c r="E2205" s="34">
        <v>2015092.28</v>
      </c>
      <c r="F2205" s="34">
        <v>8170826910.2799997</v>
      </c>
      <c r="G2205" s="38">
        <v>351608448</v>
      </c>
      <c r="H2205" s="38" t="s">
        <v>85</v>
      </c>
      <c r="I2205" s="38">
        <v>351608448</v>
      </c>
      <c r="J2205" s="34">
        <v>8522435358.2799997</v>
      </c>
      <c r="K2205" s="22"/>
      <c r="L2205" s="22"/>
      <c r="M2205" s="22"/>
      <c r="N2205" s="17"/>
    </row>
    <row r="2206" spans="1:14" ht="15.75">
      <c r="A2206" s="4">
        <v>46035</v>
      </c>
      <c r="B2206" s="32"/>
      <c r="C2206" s="34" t="s">
        <v>84</v>
      </c>
      <c r="D2206" s="34">
        <v>9872532390</v>
      </c>
      <c r="E2206" s="34">
        <v>8164.1</v>
      </c>
      <c r="F2206" s="34">
        <v>9872540554.1000004</v>
      </c>
      <c r="G2206" s="38">
        <v>373518316</v>
      </c>
      <c r="H2206" s="34">
        <v>100000000</v>
      </c>
      <c r="I2206" s="34">
        <v>473518316</v>
      </c>
      <c r="J2206" s="34">
        <v>10346058870.1</v>
      </c>
      <c r="K2206" s="22"/>
      <c r="L2206" s="22"/>
      <c r="M2206" s="22"/>
      <c r="N2206" s="17"/>
    </row>
    <row r="2207" spans="1:14" ht="15.75">
      <c r="A2207" s="4">
        <v>46036</v>
      </c>
      <c r="B2207" s="32"/>
      <c r="C2207" s="34">
        <v>3000000000</v>
      </c>
      <c r="D2207" s="34">
        <v>4081735362</v>
      </c>
      <c r="E2207" s="34" t="s">
        <v>85</v>
      </c>
      <c r="F2207" s="34">
        <v>7081735362</v>
      </c>
      <c r="G2207" s="34">
        <v>1126437422</v>
      </c>
      <c r="H2207" s="34" t="s">
        <v>84</v>
      </c>
      <c r="I2207" s="34">
        <v>1126437422</v>
      </c>
      <c r="J2207" s="34">
        <v>8208172784</v>
      </c>
      <c r="K2207" s="22"/>
      <c r="L2207" s="22"/>
      <c r="M2207" s="22"/>
      <c r="N2207" s="17"/>
    </row>
    <row r="2208" spans="1:14" ht="15.75">
      <c r="A2208" s="4">
        <v>46037</v>
      </c>
      <c r="B2208" s="32"/>
      <c r="C2208" s="34" t="s">
        <v>84</v>
      </c>
      <c r="D2208" s="34" t="s">
        <v>84</v>
      </c>
      <c r="E2208" s="34" t="s">
        <v>85</v>
      </c>
      <c r="F2208" s="34" t="s">
        <v>86</v>
      </c>
      <c r="G2208" s="34">
        <v>6847756</v>
      </c>
      <c r="H2208" s="34" t="s">
        <v>85</v>
      </c>
      <c r="I2208" s="34">
        <v>6847756</v>
      </c>
      <c r="J2208" s="34">
        <v>6847756</v>
      </c>
      <c r="K2208" s="22"/>
      <c r="L2208" s="22"/>
      <c r="M2208" s="22"/>
      <c r="N2208" s="17"/>
    </row>
    <row r="2209" spans="1:14" ht="15.75">
      <c r="A2209" s="4">
        <v>46038</v>
      </c>
      <c r="B2209" s="32"/>
      <c r="C2209" s="34">
        <v>3000000000</v>
      </c>
      <c r="D2209" s="34">
        <v>10984320274.379999</v>
      </c>
      <c r="E2209" s="34">
        <v>65890</v>
      </c>
      <c r="F2209" s="34">
        <v>13984386164.379999</v>
      </c>
      <c r="G2209" s="34">
        <v>242490857</v>
      </c>
      <c r="H2209" s="34">
        <v>100000000</v>
      </c>
      <c r="I2209" s="34">
        <v>342490857</v>
      </c>
      <c r="J2209" s="34">
        <v>14326877021.379999</v>
      </c>
      <c r="K2209" s="22"/>
      <c r="L2209" s="22"/>
      <c r="M2209" s="22"/>
      <c r="N2209" s="17"/>
    </row>
    <row r="2210" spans="1:14" ht="15.75">
      <c r="A2210" s="4">
        <v>46039</v>
      </c>
      <c r="B2210" s="32"/>
      <c r="C2210" s="34" t="s">
        <v>84</v>
      </c>
      <c r="D2210" s="34"/>
      <c r="E2210" s="34" t="s">
        <v>85</v>
      </c>
      <c r="F2210" s="34" t="s">
        <v>86</v>
      </c>
      <c r="G2210" s="34">
        <v>175846307</v>
      </c>
      <c r="H2210" s="34" t="s">
        <v>85</v>
      </c>
      <c r="I2210" s="34">
        <v>175846307</v>
      </c>
      <c r="J2210" s="34">
        <v>175846307</v>
      </c>
      <c r="K2210" s="22"/>
      <c r="L2210" s="22"/>
      <c r="M2210" s="22"/>
      <c r="N2210" s="17"/>
    </row>
    <row r="2211" spans="1:14" ht="15.75">
      <c r="A2211" s="4">
        <v>46040</v>
      </c>
      <c r="B2211" s="32"/>
      <c r="C2211" s="34" t="s">
        <v>84</v>
      </c>
      <c r="D2211" s="34" t="s">
        <v>84</v>
      </c>
      <c r="E2211" s="34" t="s">
        <v>85</v>
      </c>
      <c r="F2211" s="34" t="s">
        <v>86</v>
      </c>
      <c r="G2211" s="34">
        <v>250</v>
      </c>
      <c r="H2211" s="34" t="s">
        <v>85</v>
      </c>
      <c r="I2211" s="34">
        <v>250</v>
      </c>
      <c r="J2211" s="34">
        <v>250</v>
      </c>
      <c r="K2211" s="22"/>
      <c r="L2211" s="22"/>
      <c r="M2211" s="22"/>
      <c r="N2211" s="17"/>
    </row>
    <row r="2212" spans="1:14" ht="15.75">
      <c r="A2212" s="4">
        <v>46041</v>
      </c>
      <c r="B2212" s="32"/>
      <c r="C2212" s="34">
        <v>3000000000</v>
      </c>
      <c r="D2212" s="34">
        <v>10196738715.860001</v>
      </c>
      <c r="E2212" s="34">
        <v>27540</v>
      </c>
      <c r="F2212" s="34">
        <v>13196766255.860001</v>
      </c>
      <c r="G2212" s="34">
        <v>521672595</v>
      </c>
      <c r="H2212" s="34" t="s">
        <v>85</v>
      </c>
      <c r="I2212" s="34">
        <v>521672595</v>
      </c>
      <c r="J2212" s="34">
        <v>13718438850.860001</v>
      </c>
      <c r="K2212" s="22"/>
      <c r="L2212" s="22"/>
      <c r="M2212" s="22"/>
      <c r="N2212" s="17"/>
    </row>
    <row r="2213" spans="1:14" ht="15.75">
      <c r="A2213" s="4">
        <v>46042</v>
      </c>
      <c r="B2213" s="32"/>
      <c r="C2213" s="34">
        <v>1070115111.03</v>
      </c>
      <c r="D2213" s="34">
        <v>8527145206.9700003</v>
      </c>
      <c r="E2213" s="34" t="s">
        <v>85</v>
      </c>
      <c r="F2213" s="34">
        <v>9597260318</v>
      </c>
      <c r="G2213" s="34">
        <v>620657796</v>
      </c>
      <c r="H2213" s="34" t="s">
        <v>85</v>
      </c>
      <c r="I2213" s="34">
        <v>620657796</v>
      </c>
      <c r="J2213" s="34">
        <v>10217918114</v>
      </c>
      <c r="K2213" s="22"/>
      <c r="L2213" s="22"/>
      <c r="M2213" s="22"/>
      <c r="N2213" s="17"/>
    </row>
    <row r="2214" spans="1:14" ht="15.75">
      <c r="A2214" s="4">
        <v>46043</v>
      </c>
      <c r="B2214" s="32"/>
      <c r="C2214" s="34" t="s">
        <v>89</v>
      </c>
      <c r="D2214" s="34">
        <v>12368706211.5</v>
      </c>
      <c r="E2214" s="34">
        <v>830740.16</v>
      </c>
      <c r="F2214" s="34">
        <v>12369536951.66</v>
      </c>
      <c r="G2214" s="34">
        <v>621778507</v>
      </c>
      <c r="H2214" s="34" t="s">
        <v>85</v>
      </c>
      <c r="I2214" s="34">
        <v>621778507</v>
      </c>
      <c r="J2214" s="34">
        <v>12991315458.66</v>
      </c>
      <c r="K2214" s="22"/>
      <c r="L2214" s="22"/>
      <c r="M2214" s="22"/>
      <c r="N2214" s="17"/>
    </row>
    <row r="2215" spans="1:14" ht="15.75">
      <c r="A2215" s="4">
        <v>46044</v>
      </c>
      <c r="B2215" s="32"/>
      <c r="C2215" s="34" t="s">
        <v>84</v>
      </c>
      <c r="D2215" s="34">
        <v>8475868961.9700003</v>
      </c>
      <c r="E2215" s="34">
        <v>5513</v>
      </c>
      <c r="F2215" s="34">
        <v>8475874474.9700003</v>
      </c>
      <c r="G2215" s="34">
        <v>706733823</v>
      </c>
      <c r="H2215" s="34" t="s">
        <v>85</v>
      </c>
      <c r="I2215" s="34">
        <v>706733823</v>
      </c>
      <c r="J2215" s="34">
        <v>9182608297.9699993</v>
      </c>
      <c r="K2215" s="22"/>
      <c r="L2215" s="22"/>
      <c r="M2215" s="22"/>
      <c r="N2215" s="17"/>
    </row>
    <row r="2216" spans="1:14" ht="15.75">
      <c r="A2216" s="4">
        <v>46045</v>
      </c>
      <c r="B2216" s="32"/>
      <c r="C2216" s="34" t="s">
        <v>84</v>
      </c>
      <c r="D2216" s="34">
        <v>6424956501</v>
      </c>
      <c r="E2216" s="34">
        <v>112953</v>
      </c>
      <c r="F2216" s="34">
        <v>6425069454</v>
      </c>
      <c r="G2216" s="34">
        <v>423896012</v>
      </c>
      <c r="H2216" s="34">
        <v>100000000</v>
      </c>
      <c r="I2216" s="34">
        <v>523896012</v>
      </c>
      <c r="J2216" s="34">
        <v>6948965466</v>
      </c>
      <c r="K2216" s="22"/>
      <c r="L2216" s="22"/>
      <c r="M2216" s="22"/>
      <c r="N2216" s="17"/>
    </row>
    <row r="2217" spans="1:14" ht="15.75">
      <c r="A2217" s="4">
        <v>46046</v>
      </c>
      <c r="B2217" s="32"/>
      <c r="C2217" s="34" t="s">
        <v>84</v>
      </c>
      <c r="D2217" s="34" t="s">
        <v>84</v>
      </c>
      <c r="E2217" s="34" t="s">
        <v>85</v>
      </c>
      <c r="F2217" s="34" t="s">
        <v>86</v>
      </c>
      <c r="G2217" s="34">
        <v>13555920</v>
      </c>
      <c r="H2217" s="34" t="s">
        <v>85</v>
      </c>
      <c r="I2217" s="34">
        <v>13555920</v>
      </c>
      <c r="J2217" s="34">
        <v>13555920</v>
      </c>
      <c r="K2217" s="22"/>
      <c r="L2217" s="22"/>
      <c r="M2217" s="22"/>
      <c r="N2217" s="17"/>
    </row>
    <row r="2218" spans="1:14" ht="15.75">
      <c r="A2218" s="4">
        <v>46047</v>
      </c>
      <c r="B2218" s="32"/>
      <c r="C2218" s="34" t="s">
        <v>84</v>
      </c>
      <c r="D2218" s="34" t="s">
        <v>84</v>
      </c>
      <c r="E2218" s="34" t="s">
        <v>85</v>
      </c>
      <c r="F2218" s="34" t="s">
        <v>86</v>
      </c>
      <c r="G2218" s="34">
        <v>13517183</v>
      </c>
      <c r="H2218" s="34" t="s">
        <v>85</v>
      </c>
      <c r="I2218" s="34">
        <v>13517183</v>
      </c>
      <c r="J2218" s="34">
        <v>13517183</v>
      </c>
      <c r="K2218" s="22"/>
      <c r="L2218" s="22"/>
      <c r="M2218" s="22"/>
      <c r="N2218" s="17"/>
    </row>
    <row r="2219" spans="1:14" ht="15.75">
      <c r="A2219" s="4">
        <v>46048</v>
      </c>
      <c r="B2219" s="32"/>
      <c r="C2219" s="34" t="s">
        <v>84</v>
      </c>
      <c r="D2219" s="34">
        <v>14177954086.42</v>
      </c>
      <c r="E2219" s="34">
        <v>13601.7</v>
      </c>
      <c r="F2219" s="34">
        <v>14177967688.120001</v>
      </c>
      <c r="G2219" s="34">
        <v>487610119</v>
      </c>
      <c r="H2219" s="34" t="s">
        <v>85</v>
      </c>
      <c r="I2219" s="34">
        <v>487610119</v>
      </c>
      <c r="J2219" s="34">
        <v>14665577807.120001</v>
      </c>
      <c r="K2219" s="22"/>
      <c r="L2219" s="22"/>
      <c r="M2219" s="22"/>
    </row>
    <row r="2220" spans="1:14" ht="15.75">
      <c r="A2220" s="4">
        <v>46049</v>
      </c>
      <c r="B2220" s="32"/>
      <c r="C2220" s="34" t="s">
        <v>84</v>
      </c>
      <c r="D2220" s="34">
        <v>7640453624.7299995</v>
      </c>
      <c r="E2220" s="34">
        <v>282576405.05000001</v>
      </c>
      <c r="F2220" s="34">
        <v>7923030029.7799997</v>
      </c>
      <c r="G2220" s="34">
        <v>307475959</v>
      </c>
      <c r="H2220" s="34" t="s">
        <v>85</v>
      </c>
      <c r="I2220" s="34">
        <v>307475959</v>
      </c>
      <c r="J2220" s="34">
        <v>8230505988.7799997</v>
      </c>
      <c r="K2220" s="22"/>
      <c r="L2220" s="22"/>
      <c r="M2220" s="22"/>
    </row>
    <row r="2221" spans="1:14" ht="15.75">
      <c r="A2221" s="4">
        <v>46050</v>
      </c>
      <c r="B2221" s="32"/>
      <c r="C2221" s="34" t="s">
        <v>84</v>
      </c>
      <c r="D2221" s="38">
        <v>8839529713</v>
      </c>
      <c r="E2221" s="38" t="s">
        <v>85</v>
      </c>
      <c r="F2221" s="38">
        <v>8839529713</v>
      </c>
      <c r="G2221" s="34">
        <v>1561942964</v>
      </c>
      <c r="H2221" s="38" t="s">
        <v>85</v>
      </c>
      <c r="I2221" s="38">
        <v>1561942964</v>
      </c>
      <c r="J2221" s="34">
        <v>10401472677</v>
      </c>
      <c r="K2221" s="22"/>
      <c r="L2221" s="23"/>
      <c r="M2221" s="22"/>
    </row>
    <row r="2222" spans="1:14" ht="15.75">
      <c r="A2222" s="4">
        <v>46051</v>
      </c>
      <c r="B2222" s="32"/>
      <c r="C2222" s="34" t="s">
        <v>84</v>
      </c>
      <c r="D2222" s="38">
        <v>7191485052.5</v>
      </c>
      <c r="E2222" s="38">
        <v>43699813.640000001</v>
      </c>
      <c r="F2222" s="38">
        <v>7235184866.1400003</v>
      </c>
      <c r="G2222" s="34">
        <v>1174681523</v>
      </c>
      <c r="H2222" s="38" t="s">
        <v>85</v>
      </c>
      <c r="I2222" s="38">
        <v>1174681523</v>
      </c>
      <c r="J2222" s="34">
        <v>8409866389.1400003</v>
      </c>
      <c r="K2222" s="22"/>
      <c r="L2222" s="23"/>
      <c r="M2222" s="22"/>
    </row>
    <row r="2223" spans="1:14" ht="15.75">
      <c r="A2223" s="4">
        <v>46052</v>
      </c>
      <c r="B2223" s="32"/>
      <c r="C2223" s="34" t="s">
        <v>84</v>
      </c>
      <c r="D2223" s="38">
        <v>5021745879.1000004</v>
      </c>
      <c r="E2223" s="38">
        <v>2817677036.3699999</v>
      </c>
      <c r="F2223" s="38">
        <v>7839422915.4700003</v>
      </c>
      <c r="G2223" s="34">
        <v>491265967</v>
      </c>
      <c r="H2223" s="38">
        <v>100000000</v>
      </c>
      <c r="I2223" s="38">
        <v>591265967</v>
      </c>
      <c r="J2223" s="34">
        <v>8430688882.4700003</v>
      </c>
      <c r="K2223" s="22"/>
      <c r="L2223" s="23"/>
      <c r="M2223" s="22"/>
    </row>
    <row r="2224" spans="1:14" ht="15.75">
      <c r="A2224" s="4">
        <v>46053</v>
      </c>
      <c r="B2224" s="32"/>
      <c r="C2224" s="34" t="s">
        <v>84</v>
      </c>
      <c r="D2224" s="38" t="s">
        <v>90</v>
      </c>
      <c r="E2224" s="38" t="s">
        <v>85</v>
      </c>
      <c r="F2224" s="38" t="s">
        <v>86</v>
      </c>
      <c r="G2224" s="34">
        <v>31103759</v>
      </c>
      <c r="H2224" s="38" t="s">
        <v>85</v>
      </c>
      <c r="I2224" s="38">
        <v>31103759</v>
      </c>
      <c r="J2224" s="34">
        <v>31103759</v>
      </c>
      <c r="K2224" s="22"/>
      <c r="L2224" s="23"/>
      <c r="M2224" s="22"/>
    </row>
    <row r="2225" spans="1:13" ht="15.75">
      <c r="A2225" s="4">
        <v>46054</v>
      </c>
      <c r="B2225" s="39" t="s">
        <v>84</v>
      </c>
      <c r="C2225" s="39" t="s">
        <v>84</v>
      </c>
      <c r="D2225" s="39" t="s">
        <v>84</v>
      </c>
      <c r="E2225" s="39" t="s">
        <v>84</v>
      </c>
      <c r="F2225" s="39" t="s">
        <v>86</v>
      </c>
      <c r="G2225" s="39" t="s">
        <v>84</v>
      </c>
      <c r="H2225" s="39" t="s">
        <v>84</v>
      </c>
      <c r="I2225" s="39" t="s">
        <v>87</v>
      </c>
      <c r="J2225" s="39" t="s">
        <v>88</v>
      </c>
      <c r="K2225" s="24"/>
      <c r="L2225" s="23"/>
      <c r="M2225" s="26"/>
    </row>
    <row r="2226" spans="1:13" ht="15.75">
      <c r="A2226" s="4">
        <v>46055</v>
      </c>
      <c r="B2226" s="39" t="s">
        <v>84</v>
      </c>
      <c r="C2226" s="39" t="s">
        <v>84</v>
      </c>
      <c r="D2226" s="39">
        <v>6645147932</v>
      </c>
      <c r="E2226" s="39">
        <v>52380676.850000001</v>
      </c>
      <c r="F2226" s="39">
        <v>6697528608.8500004</v>
      </c>
      <c r="G2226" s="39">
        <v>437604507</v>
      </c>
      <c r="H2226" s="39" t="s">
        <v>85</v>
      </c>
      <c r="I2226" s="39">
        <v>437604507</v>
      </c>
      <c r="J2226" s="39">
        <v>7135133115.8500004</v>
      </c>
      <c r="K2226" s="24"/>
      <c r="L2226" s="24"/>
      <c r="M2226" s="24"/>
    </row>
    <row r="2227" spans="1:13" ht="15.75">
      <c r="A2227" s="4">
        <v>46056</v>
      </c>
      <c r="B2227" s="39" t="s">
        <v>84</v>
      </c>
      <c r="C2227" s="39" t="s">
        <v>84</v>
      </c>
      <c r="D2227" s="39">
        <v>14082447234</v>
      </c>
      <c r="E2227" s="39" t="s">
        <v>85</v>
      </c>
      <c r="F2227" s="39">
        <v>14082447234</v>
      </c>
      <c r="G2227" s="39" t="s">
        <v>86</v>
      </c>
      <c r="H2227" s="39" t="s">
        <v>85</v>
      </c>
      <c r="I2227" s="39" t="s">
        <v>87</v>
      </c>
      <c r="J2227" s="39">
        <v>14082447234</v>
      </c>
      <c r="K2227" s="24"/>
      <c r="L2227" s="24"/>
      <c r="M2227" s="24"/>
    </row>
    <row r="2228" spans="1:13" ht="15.75">
      <c r="A2228" s="4">
        <v>46057</v>
      </c>
      <c r="B2228" s="39" t="s">
        <v>84</v>
      </c>
      <c r="C2228" s="39" t="s">
        <v>84</v>
      </c>
      <c r="D2228" s="39" t="s">
        <v>84</v>
      </c>
      <c r="E2228" s="39" t="s">
        <v>84</v>
      </c>
      <c r="F2228" s="39" t="s">
        <v>86</v>
      </c>
      <c r="G2228" s="39">
        <v>290044029</v>
      </c>
      <c r="H2228" s="39" t="s">
        <v>85</v>
      </c>
      <c r="I2228" s="39">
        <v>290044029</v>
      </c>
      <c r="J2228" s="39">
        <v>290044029</v>
      </c>
      <c r="K2228" s="24"/>
      <c r="L2228" s="24"/>
      <c r="M2228" s="24"/>
    </row>
    <row r="2229" spans="1:13" ht="15.75">
      <c r="A2229" s="4">
        <v>46058</v>
      </c>
      <c r="B2229" s="39" t="s">
        <v>84</v>
      </c>
      <c r="C2229" s="39" t="s">
        <v>84</v>
      </c>
      <c r="D2229" s="39">
        <v>8115376556</v>
      </c>
      <c r="E2229" s="39" t="s">
        <v>85</v>
      </c>
      <c r="F2229" s="39">
        <v>8115376556</v>
      </c>
      <c r="G2229" s="39">
        <v>457059447</v>
      </c>
      <c r="H2229" s="39" t="s">
        <v>85</v>
      </c>
      <c r="I2229" s="39">
        <v>457059447</v>
      </c>
      <c r="J2229" s="39">
        <v>8572436003</v>
      </c>
      <c r="K2229" s="24"/>
      <c r="L2229" s="24"/>
      <c r="M2229" s="24"/>
    </row>
    <row r="2230" spans="1:13" ht="15.75">
      <c r="A2230" s="4">
        <v>46059</v>
      </c>
      <c r="B2230" s="39" t="s">
        <v>84</v>
      </c>
      <c r="C2230" s="39" t="s">
        <v>84</v>
      </c>
      <c r="D2230" s="39">
        <v>12738411240.5</v>
      </c>
      <c r="E2230" s="39">
        <v>22489</v>
      </c>
      <c r="F2230" s="39">
        <v>12738433729.5</v>
      </c>
      <c r="G2230" s="39">
        <v>400786558</v>
      </c>
      <c r="H2230" s="39">
        <v>9231544670</v>
      </c>
      <c r="I2230" s="39">
        <v>9632331228</v>
      </c>
      <c r="J2230" s="39">
        <v>22370764957.5</v>
      </c>
      <c r="K2230" s="24"/>
      <c r="L2230" s="24"/>
      <c r="M2230" s="24"/>
    </row>
    <row r="2231" spans="1:13" ht="15.75">
      <c r="A2231" s="4">
        <v>46060</v>
      </c>
      <c r="B2231" s="39" t="s">
        <v>84</v>
      </c>
      <c r="C2231" s="39" t="s">
        <v>84</v>
      </c>
      <c r="D2231" s="39" t="s">
        <v>84</v>
      </c>
      <c r="E2231" s="39" t="s">
        <v>84</v>
      </c>
      <c r="F2231" s="39" t="s">
        <v>86</v>
      </c>
      <c r="G2231" s="39">
        <v>14934082</v>
      </c>
      <c r="H2231" s="39" t="s">
        <v>84</v>
      </c>
      <c r="I2231" s="39">
        <v>14934082</v>
      </c>
      <c r="J2231" s="39">
        <v>14934082</v>
      </c>
      <c r="K2231" s="24"/>
      <c r="L2231" s="24"/>
      <c r="M2231" s="24"/>
    </row>
    <row r="2232" spans="1:13" ht="15.75">
      <c r="A2232" s="4">
        <v>46061</v>
      </c>
      <c r="B2232" s="39" t="s">
        <v>84</v>
      </c>
      <c r="C2232" s="39" t="s">
        <v>84</v>
      </c>
      <c r="D2232" s="39" t="s">
        <v>84</v>
      </c>
      <c r="E2232" s="39" t="s">
        <v>84</v>
      </c>
      <c r="F2232" s="39" t="s">
        <v>86</v>
      </c>
      <c r="G2232" s="39">
        <v>155606371</v>
      </c>
      <c r="H2232" s="39" t="s">
        <v>84</v>
      </c>
      <c r="I2232" s="39">
        <v>155606371</v>
      </c>
      <c r="J2232" s="39">
        <v>155606371</v>
      </c>
      <c r="K2232" s="24"/>
      <c r="L2232" s="24"/>
      <c r="M2232" s="24"/>
    </row>
    <row r="2233" spans="1:13" ht="15.75">
      <c r="A2233" s="4">
        <v>46062</v>
      </c>
      <c r="B2233" s="39" t="s">
        <v>84</v>
      </c>
      <c r="C2233" s="39" t="s">
        <v>84</v>
      </c>
      <c r="D2233" s="40">
        <v>11235399240.4</v>
      </c>
      <c r="E2233" s="40" t="s">
        <v>85</v>
      </c>
      <c r="F2233" s="40">
        <v>11235399240.4</v>
      </c>
      <c r="G2233" s="40">
        <v>1206403664</v>
      </c>
      <c r="H2233" s="40" t="s">
        <v>85</v>
      </c>
      <c r="I2233" s="40">
        <v>1206403664</v>
      </c>
      <c r="J2233" s="40">
        <v>12441802904.4</v>
      </c>
      <c r="K2233" s="24"/>
      <c r="L2233" s="24"/>
      <c r="M2233" s="24"/>
    </row>
    <row r="2234" spans="1:13" ht="15.75">
      <c r="A2234" s="4">
        <v>46063</v>
      </c>
      <c r="B2234" s="39" t="s">
        <v>84</v>
      </c>
      <c r="C2234" s="39" t="s">
        <v>84</v>
      </c>
      <c r="D2234" s="39">
        <v>10005812367.299999</v>
      </c>
      <c r="E2234" s="39" t="s">
        <v>85</v>
      </c>
      <c r="F2234" s="40">
        <v>10005812367.299999</v>
      </c>
      <c r="G2234" s="39">
        <v>664041369</v>
      </c>
      <c r="H2234" s="39" t="s">
        <v>85</v>
      </c>
      <c r="I2234" s="40">
        <v>664041369</v>
      </c>
      <c r="J2234" s="40">
        <v>10669853736.299999</v>
      </c>
      <c r="K2234" s="24"/>
      <c r="L2234" s="25"/>
      <c r="M2234" s="24"/>
    </row>
    <row r="2235" spans="1:13" ht="15.75">
      <c r="A2235" s="4">
        <v>46064</v>
      </c>
      <c r="B2235" s="39" t="s">
        <v>84</v>
      </c>
      <c r="C2235" s="39" t="s">
        <v>84</v>
      </c>
      <c r="D2235" s="39">
        <v>13203297545</v>
      </c>
      <c r="E2235" s="39">
        <v>90000</v>
      </c>
      <c r="F2235" s="40">
        <v>13203387545</v>
      </c>
      <c r="G2235" s="39">
        <v>532647102</v>
      </c>
      <c r="H2235" s="39" t="s">
        <v>84</v>
      </c>
      <c r="I2235" s="40">
        <v>532647102</v>
      </c>
      <c r="J2235" s="39">
        <v>13736034647</v>
      </c>
      <c r="K2235" s="24"/>
      <c r="L2235" s="24"/>
      <c r="M2235" s="24"/>
    </row>
    <row r="2236" spans="1:13" ht="15.75">
      <c r="A2236" s="4">
        <v>46065</v>
      </c>
      <c r="B2236" s="39" t="s">
        <v>84</v>
      </c>
      <c r="C2236" s="39" t="s">
        <v>84</v>
      </c>
      <c r="D2236" s="39">
        <v>15397628210.700001</v>
      </c>
      <c r="E2236" s="39">
        <v>2000000</v>
      </c>
      <c r="F2236" s="39">
        <v>15399628210.700001</v>
      </c>
      <c r="G2236" s="40">
        <v>418468805</v>
      </c>
      <c r="H2236" s="40" t="s">
        <v>85</v>
      </c>
      <c r="I2236" s="40">
        <v>418468805</v>
      </c>
      <c r="J2236" s="39">
        <v>15818097015.700001</v>
      </c>
      <c r="K2236" s="24"/>
      <c r="L2236" s="24"/>
      <c r="M2236" s="24"/>
    </row>
    <row r="2237" spans="1:13" ht="15.75">
      <c r="A2237" s="4">
        <v>46066</v>
      </c>
      <c r="B2237" s="39" t="s">
        <v>84</v>
      </c>
      <c r="C2237" s="39" t="s">
        <v>84</v>
      </c>
      <c r="D2237" s="39">
        <v>17502468933.889999</v>
      </c>
      <c r="E2237" s="39" t="s">
        <v>85</v>
      </c>
      <c r="F2237" s="39">
        <v>17502468933.889999</v>
      </c>
      <c r="G2237" s="40">
        <v>564816555</v>
      </c>
      <c r="H2237" s="39">
        <v>100000000</v>
      </c>
      <c r="I2237" s="39">
        <v>664816555</v>
      </c>
      <c r="J2237" s="39">
        <v>18167285488.889999</v>
      </c>
      <c r="K2237" s="24"/>
      <c r="L2237" s="24"/>
      <c r="M2237" s="24"/>
    </row>
    <row r="2238" spans="1:13" ht="15.75">
      <c r="A2238" s="4">
        <v>46067</v>
      </c>
      <c r="B2238" s="39" t="s">
        <v>84</v>
      </c>
      <c r="C2238" s="39" t="s">
        <v>84</v>
      </c>
      <c r="D2238" s="39" t="s">
        <v>84</v>
      </c>
      <c r="E2238" s="39" t="s">
        <v>84</v>
      </c>
      <c r="F2238" s="39" t="s">
        <v>86</v>
      </c>
      <c r="G2238" s="39">
        <v>19551186</v>
      </c>
      <c r="H2238" s="39" t="s">
        <v>84</v>
      </c>
      <c r="I2238" s="39">
        <v>19551186</v>
      </c>
      <c r="J2238" s="39">
        <v>19551186</v>
      </c>
      <c r="K2238" s="24"/>
      <c r="L2238" s="24"/>
      <c r="M2238" s="24"/>
    </row>
    <row r="2239" spans="1:13" ht="15.75">
      <c r="A2239" s="4">
        <v>46068</v>
      </c>
      <c r="B2239" s="39" t="s">
        <v>84</v>
      </c>
      <c r="C2239" s="39" t="s">
        <v>84</v>
      </c>
      <c r="D2239" s="39" t="s">
        <v>84</v>
      </c>
      <c r="E2239" s="39" t="s">
        <v>84</v>
      </c>
      <c r="F2239" s="39" t="s">
        <v>86</v>
      </c>
      <c r="G2239" s="39">
        <v>1784100</v>
      </c>
      <c r="H2239" s="39" t="s">
        <v>84</v>
      </c>
      <c r="I2239" s="39">
        <v>1784100</v>
      </c>
      <c r="J2239" s="39">
        <v>1784100</v>
      </c>
      <c r="K2239" s="24"/>
      <c r="L2239" s="24"/>
      <c r="M2239" s="24"/>
    </row>
    <row r="2240" spans="1:13" ht="15.75">
      <c r="A2240" s="4">
        <v>46069</v>
      </c>
      <c r="B2240" s="39" t="s">
        <v>84</v>
      </c>
      <c r="C2240" s="39">
        <v>3000000000</v>
      </c>
      <c r="D2240" s="39">
        <v>5768715552.4200001</v>
      </c>
      <c r="E2240" s="39" t="s">
        <v>85</v>
      </c>
      <c r="F2240" s="39">
        <v>8768715552.4200001</v>
      </c>
      <c r="G2240" s="39">
        <v>581870737</v>
      </c>
      <c r="H2240" s="39" t="s">
        <v>85</v>
      </c>
      <c r="I2240" s="39">
        <v>581870737</v>
      </c>
      <c r="J2240" s="39">
        <v>9350586289.4200001</v>
      </c>
      <c r="K2240" s="24"/>
      <c r="L2240" s="24"/>
      <c r="M2240" s="24"/>
    </row>
    <row r="2241" spans="1:13" ht="15.75">
      <c r="A2241" s="4">
        <v>46070</v>
      </c>
      <c r="B2241" s="39" t="s">
        <v>84</v>
      </c>
      <c r="C2241" s="39">
        <v>3000000000</v>
      </c>
      <c r="D2241" s="39">
        <v>5138516243</v>
      </c>
      <c r="E2241" s="39" t="s">
        <v>85</v>
      </c>
      <c r="F2241" s="39">
        <v>8138516243</v>
      </c>
      <c r="G2241" s="39">
        <v>760747905</v>
      </c>
      <c r="H2241" s="39" t="s">
        <v>85</v>
      </c>
      <c r="I2241" s="39">
        <v>760747905</v>
      </c>
      <c r="J2241" s="39">
        <v>8899264148</v>
      </c>
      <c r="K2241" s="24"/>
      <c r="L2241" s="24"/>
      <c r="M2241" s="24"/>
    </row>
    <row r="2242" spans="1:13" ht="15.75">
      <c r="A2242" s="4">
        <v>46071</v>
      </c>
      <c r="B2242" s="39" t="s">
        <v>84</v>
      </c>
      <c r="C2242" s="39">
        <v>2313591345.3200002</v>
      </c>
      <c r="D2242" s="39">
        <v>8756730192.9200001</v>
      </c>
      <c r="E2242" s="39" t="s">
        <v>85</v>
      </c>
      <c r="F2242" s="39">
        <v>11070321538.24</v>
      </c>
      <c r="G2242" s="39">
        <v>475275243</v>
      </c>
      <c r="H2242" s="39" t="s">
        <v>85</v>
      </c>
      <c r="I2242" s="39">
        <v>475275243</v>
      </c>
      <c r="J2242" s="39">
        <v>11545596781.24</v>
      </c>
      <c r="K2242" s="24"/>
      <c r="L2242" s="24"/>
      <c r="M2242" s="24"/>
    </row>
    <row r="2243" spans="1:13" ht="15.75">
      <c r="A2243" s="4">
        <v>46072</v>
      </c>
      <c r="B2243" s="39" t="s">
        <v>84</v>
      </c>
      <c r="C2243" s="39" t="s">
        <v>89</v>
      </c>
      <c r="D2243" s="39">
        <v>5903342440.2700005</v>
      </c>
      <c r="E2243" s="39">
        <v>172248.08</v>
      </c>
      <c r="F2243" s="39">
        <v>5903514688.3500004</v>
      </c>
      <c r="G2243" s="39">
        <v>351355013</v>
      </c>
      <c r="H2243" s="39" t="s">
        <v>84</v>
      </c>
      <c r="I2243" s="39">
        <v>351355013</v>
      </c>
      <c r="J2243" s="39">
        <v>6254869701.3500004</v>
      </c>
      <c r="K2243" s="24"/>
      <c r="L2243" s="24"/>
      <c r="M2243" s="24"/>
    </row>
    <row r="2244" spans="1:13" ht="15.75">
      <c r="A2244" s="4">
        <v>46073</v>
      </c>
      <c r="B2244" s="39" t="s">
        <v>84</v>
      </c>
      <c r="C2244" s="39" t="s">
        <v>84</v>
      </c>
      <c r="D2244" s="39">
        <v>8486707388</v>
      </c>
      <c r="E2244" s="39" t="s">
        <v>85</v>
      </c>
      <c r="F2244" s="39">
        <v>8486707388</v>
      </c>
      <c r="G2244" s="39" t="s">
        <v>86</v>
      </c>
      <c r="H2244" s="39" t="s">
        <v>85</v>
      </c>
      <c r="I2244" s="39" t="s">
        <v>87</v>
      </c>
      <c r="J2244" s="39">
        <v>8486707388</v>
      </c>
      <c r="K2244" s="24"/>
      <c r="L2244" s="24"/>
      <c r="M2244" s="24"/>
    </row>
    <row r="2245" spans="1:13" ht="15.75">
      <c r="A2245" s="4">
        <v>46074</v>
      </c>
      <c r="B2245" s="39" t="s">
        <v>84</v>
      </c>
      <c r="C2245" s="39" t="s">
        <v>84</v>
      </c>
      <c r="D2245" s="39" t="s">
        <v>84</v>
      </c>
      <c r="E2245" s="39" t="s">
        <v>84</v>
      </c>
      <c r="F2245" s="39" t="s">
        <v>86</v>
      </c>
      <c r="G2245" s="39">
        <v>164523001</v>
      </c>
      <c r="H2245" s="39" t="s">
        <v>84</v>
      </c>
      <c r="I2245" s="39">
        <v>164523001</v>
      </c>
      <c r="J2245" s="39">
        <v>164523001</v>
      </c>
      <c r="K2245" s="24"/>
      <c r="L2245" s="24"/>
      <c r="M2245" s="24"/>
    </row>
    <row r="2246" spans="1:13" ht="15.75">
      <c r="A2246" s="4">
        <v>46075</v>
      </c>
      <c r="B2246" s="39" t="s">
        <v>84</v>
      </c>
      <c r="C2246" s="39" t="s">
        <v>84</v>
      </c>
      <c r="D2246" s="39" t="s">
        <v>84</v>
      </c>
      <c r="E2246" s="39" t="s">
        <v>84</v>
      </c>
      <c r="F2246" s="39" t="s">
        <v>86</v>
      </c>
      <c r="G2246" s="39" t="s">
        <v>84</v>
      </c>
      <c r="H2246" s="39" t="s">
        <v>84</v>
      </c>
      <c r="I2246" s="39" t="s">
        <v>87</v>
      </c>
      <c r="J2246" s="39" t="s">
        <v>88</v>
      </c>
      <c r="K2246" s="24"/>
      <c r="L2246" s="24"/>
      <c r="M2246" s="24"/>
    </row>
    <row r="2247" spans="1:13" ht="15.75">
      <c r="A2247" s="4">
        <v>46076</v>
      </c>
      <c r="B2247" s="39" t="s">
        <v>84</v>
      </c>
      <c r="C2247" s="39" t="s">
        <v>84</v>
      </c>
      <c r="D2247" s="39">
        <v>8053238053</v>
      </c>
      <c r="E2247" s="39" t="s">
        <v>85</v>
      </c>
      <c r="F2247" s="39">
        <v>8053238053</v>
      </c>
      <c r="G2247" s="39">
        <v>648878786</v>
      </c>
      <c r="H2247" s="39" t="s">
        <v>85</v>
      </c>
      <c r="I2247" s="39">
        <v>648878786</v>
      </c>
      <c r="J2247" s="39">
        <v>8702116839</v>
      </c>
      <c r="K2247" s="24"/>
      <c r="L2247" s="24"/>
      <c r="M2247" s="24"/>
    </row>
    <row r="2248" spans="1:13" ht="15.75">
      <c r="A2248" s="4">
        <v>46077</v>
      </c>
      <c r="B2248" s="39" t="s">
        <v>84</v>
      </c>
      <c r="C2248" s="39" t="s">
        <v>84</v>
      </c>
      <c r="D2248" s="39">
        <v>10369624096</v>
      </c>
      <c r="E2248" s="39" t="s">
        <v>85</v>
      </c>
      <c r="F2248" s="39">
        <v>10369624096</v>
      </c>
      <c r="G2248" s="39">
        <v>555669920</v>
      </c>
      <c r="H2248" s="39" t="s">
        <v>85</v>
      </c>
      <c r="I2248" s="39">
        <v>555669920</v>
      </c>
      <c r="J2248" s="39">
        <v>10925294016</v>
      </c>
      <c r="K2248" s="24"/>
      <c r="L2248" s="24"/>
      <c r="M2248" s="24"/>
    </row>
    <row r="2249" spans="1:13" ht="15.75">
      <c r="A2249" s="4">
        <v>46078</v>
      </c>
      <c r="B2249" s="39" t="s">
        <v>84</v>
      </c>
      <c r="C2249" s="39" t="s">
        <v>84</v>
      </c>
      <c r="D2249" s="39">
        <v>7700049156</v>
      </c>
      <c r="E2249" s="39" t="s">
        <v>84</v>
      </c>
      <c r="F2249" s="39">
        <v>7700049156</v>
      </c>
      <c r="G2249" s="39">
        <v>756061609.83000004</v>
      </c>
      <c r="H2249" s="39">
        <v>100000000</v>
      </c>
      <c r="I2249" s="39">
        <v>856061609.83000004</v>
      </c>
      <c r="J2249" s="39">
        <v>8556110765.8299999</v>
      </c>
      <c r="K2249" s="24"/>
      <c r="L2249" s="24"/>
      <c r="M2249" s="24"/>
    </row>
    <row r="2250" spans="1:13" ht="15.75">
      <c r="A2250" s="4">
        <v>46079</v>
      </c>
      <c r="B2250" s="39" t="s">
        <v>84</v>
      </c>
      <c r="C2250" s="39" t="s">
        <v>84</v>
      </c>
      <c r="D2250" s="39">
        <v>5910618679</v>
      </c>
      <c r="E2250" s="39" t="s">
        <v>84</v>
      </c>
      <c r="F2250" s="39">
        <v>5910618679</v>
      </c>
      <c r="G2250" s="39">
        <v>276180936</v>
      </c>
      <c r="H2250" s="39" t="s">
        <v>84</v>
      </c>
      <c r="I2250" s="39">
        <v>276180936</v>
      </c>
      <c r="J2250" s="39">
        <v>6186799615</v>
      </c>
      <c r="K2250" s="24"/>
      <c r="L2250" s="24"/>
      <c r="M2250" s="24"/>
    </row>
    <row r="2251" spans="1:13" ht="15.75">
      <c r="A2251" s="4">
        <v>46080</v>
      </c>
      <c r="B2251" s="39" t="s">
        <v>84</v>
      </c>
      <c r="C2251" s="39" t="s">
        <v>84</v>
      </c>
      <c r="D2251" s="39">
        <v>5865178193.54</v>
      </c>
      <c r="E2251" s="39">
        <v>3474561650.3099999</v>
      </c>
      <c r="F2251" s="39">
        <v>9339739843.8500004</v>
      </c>
      <c r="G2251" s="39">
        <v>192741664</v>
      </c>
      <c r="H2251" s="39">
        <v>100000000</v>
      </c>
      <c r="I2251" s="39">
        <v>292741664</v>
      </c>
      <c r="J2251" s="39">
        <v>9632481507.8500004</v>
      </c>
      <c r="K2251" s="24"/>
      <c r="L2251" s="24"/>
      <c r="M2251" s="24"/>
    </row>
    <row r="2252" spans="1:13" ht="15.75">
      <c r="A2252" s="4">
        <v>46081</v>
      </c>
      <c r="B2252" s="39" t="s">
        <v>84</v>
      </c>
      <c r="C2252" s="39" t="s">
        <v>84</v>
      </c>
      <c r="D2252" s="40" t="s">
        <v>84</v>
      </c>
      <c r="E2252" s="40" t="s">
        <v>84</v>
      </c>
      <c r="F2252" s="40" t="s">
        <v>86</v>
      </c>
      <c r="G2252" s="39">
        <v>191563528</v>
      </c>
      <c r="H2252" s="40" t="s">
        <v>85</v>
      </c>
      <c r="I2252" s="40">
        <v>191563528</v>
      </c>
      <c r="J2252" s="39">
        <v>191563528</v>
      </c>
      <c r="K2252" s="24"/>
      <c r="L2252" s="24"/>
      <c r="M2252" s="24"/>
    </row>
    <row r="2253" spans="1:13" ht="15.75">
      <c r="A2253" s="4">
        <v>46082</v>
      </c>
      <c r="B2253" s="39" t="s">
        <v>84</v>
      </c>
      <c r="C2253" s="39" t="s">
        <v>84</v>
      </c>
      <c r="D2253" s="39" t="s">
        <v>84</v>
      </c>
      <c r="E2253" s="39" t="s">
        <v>84</v>
      </c>
      <c r="F2253" s="39" t="s">
        <v>86</v>
      </c>
      <c r="G2253" s="39">
        <v>4922150</v>
      </c>
      <c r="H2253" s="39" t="s">
        <v>85</v>
      </c>
      <c r="I2253" s="39">
        <v>4922150</v>
      </c>
      <c r="J2253" s="39">
        <v>4922150</v>
      </c>
      <c r="K2253" s="24"/>
      <c r="L2253" s="24"/>
      <c r="M2253" s="24"/>
    </row>
    <row r="2254" spans="1:13" ht="15.75">
      <c r="A2254" s="4">
        <v>46083</v>
      </c>
      <c r="B2254" s="39" t="s">
        <v>84</v>
      </c>
      <c r="C2254" s="39" t="s">
        <v>84</v>
      </c>
      <c r="D2254" s="39" t="s">
        <v>84</v>
      </c>
      <c r="E2254" s="39" t="s">
        <v>84</v>
      </c>
      <c r="F2254" s="39" t="s">
        <v>86</v>
      </c>
      <c r="G2254" s="39">
        <v>164791778</v>
      </c>
      <c r="H2254" s="39" t="s">
        <v>85</v>
      </c>
      <c r="I2254" s="39">
        <v>164791778</v>
      </c>
      <c r="J2254" s="39">
        <v>164791778</v>
      </c>
      <c r="K2254" s="24"/>
      <c r="L2254" s="24"/>
      <c r="M2254" s="24"/>
    </row>
    <row r="2255" spans="1:13" ht="15.75">
      <c r="A2255" s="4">
        <v>46084</v>
      </c>
      <c r="B2255" s="39" t="s">
        <v>84</v>
      </c>
      <c r="C2255" s="39" t="s">
        <v>84</v>
      </c>
      <c r="D2255" s="39">
        <v>8349955850.8999996</v>
      </c>
      <c r="E2255" s="39" t="s">
        <v>85</v>
      </c>
      <c r="F2255" s="39">
        <v>8349955850.8999996</v>
      </c>
      <c r="G2255" s="39">
        <v>429829721</v>
      </c>
      <c r="H2255" s="39" t="s">
        <v>85</v>
      </c>
      <c r="I2255" s="39">
        <v>429829721</v>
      </c>
      <c r="J2255" s="39">
        <v>8779785571.8999996</v>
      </c>
      <c r="K2255" s="24"/>
      <c r="L2255" s="24"/>
      <c r="M2255" s="24"/>
    </row>
    <row r="2256" spans="1:13" ht="15.75">
      <c r="A2256" s="4">
        <v>46085</v>
      </c>
      <c r="B2256" s="39" t="s">
        <v>84</v>
      </c>
      <c r="C2256" s="39" t="s">
        <v>84</v>
      </c>
      <c r="D2256" s="39">
        <v>9242646692.0699997</v>
      </c>
      <c r="E2256" s="39" t="s">
        <v>85</v>
      </c>
      <c r="F2256" s="39">
        <v>9242646692.0699997</v>
      </c>
      <c r="G2256" s="39">
        <v>465737296</v>
      </c>
      <c r="H2256" s="39" t="s">
        <v>85</v>
      </c>
      <c r="I2256" s="39">
        <v>465737296</v>
      </c>
      <c r="J2256" s="39">
        <v>9708383988.0699997</v>
      </c>
      <c r="K2256" s="24"/>
      <c r="L2256" s="24"/>
      <c r="M2256" s="24"/>
    </row>
    <row r="2257" spans="1:13" ht="15.75">
      <c r="A2257" s="4">
        <v>46086</v>
      </c>
      <c r="B2257" s="39" t="s">
        <v>84</v>
      </c>
      <c r="C2257" s="39" t="s">
        <v>84</v>
      </c>
      <c r="D2257" s="39">
        <v>10514543548</v>
      </c>
      <c r="E2257" s="39" t="s">
        <v>85</v>
      </c>
      <c r="F2257" s="39">
        <v>10514543548</v>
      </c>
      <c r="G2257" s="39">
        <v>274286723</v>
      </c>
      <c r="H2257" s="39" t="s">
        <v>85</v>
      </c>
      <c r="I2257" s="39">
        <v>274286723</v>
      </c>
      <c r="J2257" s="39">
        <v>10788830271</v>
      </c>
      <c r="K2257" s="24"/>
      <c r="L2257" s="24"/>
      <c r="M2257" s="24"/>
    </row>
    <row r="2258" spans="1:13" ht="15.75">
      <c r="A2258" s="4">
        <v>46087</v>
      </c>
      <c r="B2258" s="39" t="s">
        <v>84</v>
      </c>
      <c r="C2258" s="39" t="s">
        <v>84</v>
      </c>
      <c r="D2258" s="39">
        <v>5265258968.6400003</v>
      </c>
      <c r="E2258" s="39" t="s">
        <v>85</v>
      </c>
      <c r="F2258" s="39">
        <v>5265258968.6400003</v>
      </c>
      <c r="G2258" s="39">
        <v>381993830</v>
      </c>
      <c r="H2258" s="39">
        <v>6888465300</v>
      </c>
      <c r="I2258" s="39">
        <v>7270459130</v>
      </c>
      <c r="J2258" s="39">
        <v>12535718098.639999</v>
      </c>
      <c r="K2258" s="24"/>
      <c r="L2258" s="24"/>
      <c r="M2258" s="24"/>
    </row>
    <row r="2259" spans="1:13" ht="15.75">
      <c r="A2259" s="4">
        <v>46088</v>
      </c>
      <c r="B2259" s="39" t="s">
        <v>84</v>
      </c>
      <c r="C2259" s="39" t="s">
        <v>84</v>
      </c>
      <c r="D2259" s="39" t="s">
        <v>84</v>
      </c>
      <c r="E2259" s="39" t="s">
        <v>84</v>
      </c>
      <c r="F2259" s="39" t="s">
        <v>86</v>
      </c>
      <c r="G2259" s="39">
        <v>12720150</v>
      </c>
      <c r="H2259" s="39" t="s">
        <v>85</v>
      </c>
      <c r="I2259" s="39">
        <v>12720150</v>
      </c>
      <c r="J2259" s="39">
        <v>12720150</v>
      </c>
      <c r="K2259" s="24"/>
      <c r="L2259" s="24"/>
      <c r="M2259" s="24"/>
    </row>
    <row r="2260" spans="1:13" ht="15.75">
      <c r="A2260" s="4">
        <v>46089</v>
      </c>
      <c r="B2260" s="39" t="s">
        <v>84</v>
      </c>
      <c r="C2260" s="39" t="s">
        <v>84</v>
      </c>
      <c r="D2260" s="39" t="s">
        <v>84</v>
      </c>
      <c r="E2260" s="39" t="s">
        <v>84</v>
      </c>
      <c r="F2260" s="39" t="s">
        <v>86</v>
      </c>
      <c r="G2260" s="39">
        <v>166237773</v>
      </c>
      <c r="H2260" s="39" t="s">
        <v>85</v>
      </c>
      <c r="I2260" s="39">
        <v>166237773</v>
      </c>
      <c r="J2260" s="39">
        <v>166237773</v>
      </c>
      <c r="K2260" s="24"/>
      <c r="L2260" s="24"/>
      <c r="M2260" s="24"/>
    </row>
    <row r="2261" spans="1:13" ht="15.75">
      <c r="A2261" s="4">
        <v>46090</v>
      </c>
      <c r="B2261" s="39" t="s">
        <v>84</v>
      </c>
      <c r="C2261" s="39" t="s">
        <v>84</v>
      </c>
      <c r="D2261" s="40">
        <v>9158823347</v>
      </c>
      <c r="E2261" s="40" t="s">
        <v>85</v>
      </c>
      <c r="F2261" s="40">
        <v>9158823347</v>
      </c>
      <c r="G2261" s="40">
        <v>233532228</v>
      </c>
      <c r="H2261" s="40" t="s">
        <v>85</v>
      </c>
      <c r="I2261" s="40">
        <v>233532228</v>
      </c>
      <c r="J2261" s="40">
        <v>9392355575</v>
      </c>
      <c r="K2261" s="24"/>
      <c r="L2261" s="25"/>
      <c r="M2261" s="24"/>
    </row>
    <row r="2262" spans="1:13" ht="15.75">
      <c r="A2262" s="4">
        <v>46091</v>
      </c>
      <c r="B2262" s="39" t="s">
        <v>84</v>
      </c>
      <c r="C2262" s="39">
        <v>3000000000</v>
      </c>
      <c r="D2262" s="39">
        <v>6819040066</v>
      </c>
      <c r="E2262" s="39" t="s">
        <v>85</v>
      </c>
      <c r="F2262" s="40">
        <v>9819040066</v>
      </c>
      <c r="G2262" s="39">
        <v>338000237</v>
      </c>
      <c r="H2262" s="39" t="s">
        <v>85</v>
      </c>
      <c r="I2262" s="40">
        <v>338000237</v>
      </c>
      <c r="J2262" s="40">
        <v>10157040303</v>
      </c>
      <c r="K2262" s="24"/>
      <c r="L2262" s="24"/>
      <c r="M2262" s="24"/>
    </row>
    <row r="2263" spans="1:13" ht="15.75">
      <c r="A2263" s="4">
        <v>46092</v>
      </c>
      <c r="B2263" s="39" t="s">
        <v>84</v>
      </c>
      <c r="C2263" s="39">
        <v>3000000000</v>
      </c>
      <c r="D2263" s="39">
        <v>6974673226.2799997</v>
      </c>
      <c r="E2263" s="39" t="s">
        <v>85</v>
      </c>
      <c r="F2263" s="40">
        <v>9974673226.2800007</v>
      </c>
      <c r="G2263" s="39">
        <v>1303300915</v>
      </c>
      <c r="H2263" s="39" t="s">
        <v>85</v>
      </c>
      <c r="I2263" s="40">
        <v>1303300915</v>
      </c>
      <c r="J2263" s="39">
        <v>11277974141.280001</v>
      </c>
      <c r="K2263" s="24"/>
      <c r="L2263" s="24"/>
      <c r="M2263" s="24"/>
    </row>
    <row r="2264" spans="1:13" ht="15.75">
      <c r="A2264" s="4">
        <v>46093</v>
      </c>
      <c r="B2264" s="39" t="s">
        <v>84</v>
      </c>
      <c r="C2264" s="39">
        <v>1765657579.05</v>
      </c>
      <c r="D2264" s="39">
        <v>4584037126.9499998</v>
      </c>
      <c r="E2264" s="39" t="s">
        <v>85</v>
      </c>
      <c r="F2264" s="39">
        <v>6349694706</v>
      </c>
      <c r="G2264" s="40">
        <v>518866118</v>
      </c>
      <c r="H2264" s="40" t="s">
        <v>85</v>
      </c>
      <c r="I2264" s="40">
        <v>518866118</v>
      </c>
      <c r="J2264" s="39">
        <v>6868560824</v>
      </c>
      <c r="K2264" s="24"/>
      <c r="L2264" s="24"/>
      <c r="M2264" s="24"/>
    </row>
    <row r="2265" spans="1:13" ht="15.75">
      <c r="A2265" s="4">
        <v>46094</v>
      </c>
      <c r="B2265" s="39" t="s">
        <v>84</v>
      </c>
      <c r="C2265" s="39" t="s">
        <v>84</v>
      </c>
      <c r="D2265" s="39">
        <v>6044039427.2399998</v>
      </c>
      <c r="E2265" s="39" t="s">
        <v>85</v>
      </c>
      <c r="F2265" s="39">
        <v>6044039427.2399998</v>
      </c>
      <c r="G2265" s="40">
        <v>376011860</v>
      </c>
      <c r="H2265" s="39">
        <v>100000000</v>
      </c>
      <c r="I2265" s="39">
        <v>476011860</v>
      </c>
      <c r="J2265" s="39">
        <v>6520051287.2399998</v>
      </c>
      <c r="K2265" s="24"/>
      <c r="L2265" s="24"/>
      <c r="M2265" s="24"/>
    </row>
    <row r="2266" spans="1:13" ht="15.75">
      <c r="A2266" s="4">
        <v>46095</v>
      </c>
      <c r="B2266" s="39" t="s">
        <v>84</v>
      </c>
      <c r="C2266" s="39" t="s">
        <v>84</v>
      </c>
      <c r="D2266" s="39" t="s">
        <v>84</v>
      </c>
      <c r="E2266" s="39" t="s">
        <v>84</v>
      </c>
      <c r="F2266" s="39" t="s">
        <v>86</v>
      </c>
      <c r="G2266" s="39">
        <v>188175989</v>
      </c>
      <c r="H2266" s="39" t="s">
        <v>85</v>
      </c>
      <c r="I2266" s="39">
        <v>188175989</v>
      </c>
      <c r="J2266" s="39">
        <v>188175989</v>
      </c>
      <c r="K2266" s="24"/>
      <c r="L2266" s="24"/>
      <c r="M2266" s="24"/>
    </row>
    <row r="2267" spans="1:13" ht="15.75">
      <c r="A2267" s="4">
        <v>46096</v>
      </c>
      <c r="B2267" s="39" t="s">
        <v>84</v>
      </c>
      <c r="C2267" s="39" t="s">
        <v>84</v>
      </c>
      <c r="D2267" s="39" t="s">
        <v>84</v>
      </c>
      <c r="E2267" s="39" t="s">
        <v>84</v>
      </c>
      <c r="F2267" s="39" t="s">
        <v>86</v>
      </c>
      <c r="G2267" s="39">
        <v>1202350</v>
      </c>
      <c r="H2267" s="39" t="s">
        <v>84</v>
      </c>
      <c r="I2267" s="39">
        <v>1202350</v>
      </c>
      <c r="J2267" s="39">
        <v>1202350</v>
      </c>
      <c r="K2267" s="24"/>
      <c r="L2267" s="24"/>
      <c r="M2267" s="24"/>
    </row>
    <row r="2268" spans="1:13" ht="15.75">
      <c r="A2268" s="4">
        <v>46097</v>
      </c>
      <c r="B2268" s="39" t="s">
        <v>84</v>
      </c>
      <c r="C2268" s="39" t="s">
        <v>84</v>
      </c>
      <c r="D2268" s="39">
        <v>11533598692</v>
      </c>
      <c r="E2268" s="39" t="s">
        <v>85</v>
      </c>
      <c r="F2268" s="39">
        <v>11533598692</v>
      </c>
      <c r="G2268" s="39">
        <v>222185561</v>
      </c>
      <c r="H2268" s="39" t="s">
        <v>85</v>
      </c>
      <c r="I2268" s="39">
        <v>222185561</v>
      </c>
      <c r="J2268" s="39">
        <v>11755784253</v>
      </c>
      <c r="K2268" s="24"/>
      <c r="L2268" s="24"/>
      <c r="M2268" s="24"/>
    </row>
    <row r="2269" spans="1:13" ht="15.75">
      <c r="A2269" s="4">
        <v>46098</v>
      </c>
      <c r="B2269" s="39" t="s">
        <v>84</v>
      </c>
      <c r="C2269" s="39" t="s">
        <v>84</v>
      </c>
      <c r="D2269" s="39">
        <v>18004090894.279999</v>
      </c>
      <c r="E2269" s="39">
        <v>1728929</v>
      </c>
      <c r="F2269" s="39">
        <v>18005819823.279999</v>
      </c>
      <c r="G2269" s="39">
        <v>853174576.78999996</v>
      </c>
      <c r="H2269" s="39" t="s">
        <v>85</v>
      </c>
      <c r="I2269" s="39">
        <v>853174576.78999996</v>
      </c>
      <c r="J2269" s="39">
        <v>18858994400.07</v>
      </c>
      <c r="K2269" s="24"/>
      <c r="L2269" s="24"/>
      <c r="M2269" s="24"/>
    </row>
    <row r="2270" spans="1:13" ht="15.75">
      <c r="A2270" s="4">
        <v>46099</v>
      </c>
      <c r="B2270" s="39" t="s">
        <v>84</v>
      </c>
      <c r="C2270" s="39" t="s">
        <v>84</v>
      </c>
      <c r="D2270" s="39">
        <v>6057175081</v>
      </c>
      <c r="E2270" s="39" t="s">
        <v>85</v>
      </c>
      <c r="F2270" s="39">
        <v>6057175081</v>
      </c>
      <c r="G2270" s="39">
        <v>383358174</v>
      </c>
      <c r="H2270" s="39" t="s">
        <v>85</v>
      </c>
      <c r="I2270" s="39">
        <v>383358174</v>
      </c>
      <c r="J2270" s="39">
        <v>6440533255</v>
      </c>
      <c r="K2270" s="24"/>
      <c r="L2270" s="24"/>
      <c r="M2270" s="24"/>
    </row>
    <row r="2271" spans="1:13" ht="15.75">
      <c r="A2271" s="4">
        <v>46100</v>
      </c>
      <c r="B2271" s="39" t="s">
        <v>84</v>
      </c>
      <c r="C2271" s="39" t="s">
        <v>84</v>
      </c>
      <c r="D2271" s="39">
        <v>9506379764.2600002</v>
      </c>
      <c r="E2271" s="39" t="s">
        <v>85</v>
      </c>
      <c r="F2271" s="39">
        <v>9506379764.2600002</v>
      </c>
      <c r="G2271" s="39">
        <v>610839373</v>
      </c>
      <c r="H2271" s="39" t="s">
        <v>85</v>
      </c>
      <c r="I2271" s="39">
        <v>610839373</v>
      </c>
      <c r="J2271" s="39">
        <v>10117219137.26</v>
      </c>
      <c r="K2271" s="24"/>
      <c r="L2271" s="24"/>
      <c r="M2271" s="24"/>
    </row>
    <row r="2272" spans="1:13" ht="15.75">
      <c r="A2272" s="4">
        <v>46101</v>
      </c>
      <c r="B2272" s="39" t="s">
        <v>84</v>
      </c>
      <c r="C2272" s="39" t="s">
        <v>84</v>
      </c>
      <c r="D2272" s="39">
        <v>6473728194.5</v>
      </c>
      <c r="E2272" s="39" t="s">
        <v>85</v>
      </c>
      <c r="F2272" s="39">
        <v>6473728194.5</v>
      </c>
      <c r="G2272" s="39">
        <v>443969410</v>
      </c>
      <c r="H2272" s="39">
        <v>100000000</v>
      </c>
      <c r="I2272" s="39">
        <v>543969410</v>
      </c>
      <c r="J2272" s="39">
        <v>7017697604.5</v>
      </c>
      <c r="K2272" s="24"/>
      <c r="L2272" s="24"/>
      <c r="M2272" s="24"/>
    </row>
    <row r="2273" spans="1:13" ht="15.75">
      <c r="A2273" s="4">
        <v>46102</v>
      </c>
      <c r="B2273" s="39" t="s">
        <v>84</v>
      </c>
      <c r="C2273" s="39" t="s">
        <v>84</v>
      </c>
      <c r="D2273" s="39" t="s">
        <v>90</v>
      </c>
      <c r="E2273" s="39" t="s">
        <v>85</v>
      </c>
      <c r="F2273" s="39" t="s">
        <v>86</v>
      </c>
      <c r="G2273" s="39">
        <v>3065162</v>
      </c>
      <c r="H2273" s="39" t="s">
        <v>85</v>
      </c>
      <c r="I2273" s="39">
        <v>3065162</v>
      </c>
      <c r="J2273" s="39">
        <v>3065162</v>
      </c>
      <c r="K2273" s="24"/>
      <c r="L2273" s="24"/>
      <c r="M2273" s="24"/>
    </row>
    <row r="2274" spans="1:13" ht="15.75">
      <c r="A2274" s="4">
        <v>46103</v>
      </c>
      <c r="B2274" s="39" t="s">
        <v>84</v>
      </c>
      <c r="C2274" s="39" t="s">
        <v>84</v>
      </c>
      <c r="D2274" s="39" t="s">
        <v>90</v>
      </c>
      <c r="E2274" s="39" t="s">
        <v>85</v>
      </c>
      <c r="F2274" s="39" t="s">
        <v>86</v>
      </c>
      <c r="G2274" s="39">
        <v>1102350</v>
      </c>
      <c r="H2274" s="39" t="s">
        <v>85</v>
      </c>
      <c r="I2274" s="39">
        <v>1102350</v>
      </c>
      <c r="J2274" s="39">
        <v>1102350</v>
      </c>
      <c r="K2274" s="24"/>
      <c r="L2274" s="24"/>
      <c r="M2274" s="24"/>
    </row>
    <row r="2275" spans="1:13" ht="15.75">
      <c r="A2275" s="4">
        <v>46104</v>
      </c>
      <c r="B2275" s="39" t="s">
        <v>84</v>
      </c>
      <c r="C2275" s="39" t="s">
        <v>84</v>
      </c>
      <c r="D2275" s="39">
        <v>8305455374.5</v>
      </c>
      <c r="E2275" s="39" t="s">
        <v>84</v>
      </c>
      <c r="F2275" s="39">
        <v>8305455374.5</v>
      </c>
      <c r="G2275" s="39">
        <v>322227142</v>
      </c>
      <c r="H2275" s="39" t="s">
        <v>84</v>
      </c>
      <c r="I2275" s="39">
        <v>322227142</v>
      </c>
      <c r="J2275" s="39">
        <v>8627682516.5</v>
      </c>
      <c r="K2275" s="24"/>
      <c r="L2275" s="24"/>
      <c r="M2275" s="24"/>
    </row>
    <row r="2276" spans="1:13" ht="15.75">
      <c r="A2276" s="4">
        <v>46105</v>
      </c>
      <c r="B2276" s="39" t="s">
        <v>84</v>
      </c>
      <c r="C2276" s="39" t="s">
        <v>84</v>
      </c>
      <c r="D2276" s="39">
        <v>12545843881</v>
      </c>
      <c r="E2276" s="39" t="s">
        <v>85</v>
      </c>
      <c r="F2276" s="39">
        <v>12545843881</v>
      </c>
      <c r="G2276" s="39">
        <v>748261251</v>
      </c>
      <c r="H2276" s="39" t="s">
        <v>85</v>
      </c>
      <c r="I2276" s="39">
        <v>748261251</v>
      </c>
      <c r="J2276" s="39">
        <v>13294105132</v>
      </c>
      <c r="K2276" s="24"/>
      <c r="L2276" s="24"/>
      <c r="M2276" s="24"/>
    </row>
    <row r="2277" spans="1:13" ht="15.75">
      <c r="A2277" s="4">
        <v>46106</v>
      </c>
      <c r="B2277" s="39" t="s">
        <v>84</v>
      </c>
      <c r="C2277" s="39" t="s">
        <v>84</v>
      </c>
      <c r="D2277" s="39">
        <v>8428625821.6999998</v>
      </c>
      <c r="E2277" s="39" t="s">
        <v>85</v>
      </c>
      <c r="F2277" s="39">
        <v>8428625821.6999998</v>
      </c>
      <c r="G2277" s="39">
        <v>459513842</v>
      </c>
      <c r="H2277" s="39" t="s">
        <v>85</v>
      </c>
      <c r="I2277" s="39">
        <v>459513842</v>
      </c>
      <c r="J2277" s="39">
        <v>8888139663.7000008</v>
      </c>
      <c r="K2277" s="24"/>
      <c r="L2277" s="24"/>
      <c r="M2277" s="24"/>
    </row>
    <row r="2278" spans="1:13" ht="15.75">
      <c r="A2278" s="4">
        <v>46107</v>
      </c>
      <c r="B2278" s="39" t="s">
        <v>84</v>
      </c>
      <c r="C2278" s="39" t="s">
        <v>84</v>
      </c>
      <c r="D2278" s="39">
        <v>12879611416</v>
      </c>
      <c r="E2278" s="39" t="s">
        <v>85</v>
      </c>
      <c r="F2278" s="39">
        <v>12879611416</v>
      </c>
      <c r="G2278" s="39">
        <v>336888958</v>
      </c>
      <c r="H2278" s="39" t="s">
        <v>85</v>
      </c>
      <c r="I2278" s="39">
        <v>336888958</v>
      </c>
      <c r="J2278" s="39">
        <v>13216500374</v>
      </c>
      <c r="K2278" s="24"/>
      <c r="L2278" s="24"/>
      <c r="M2278" s="24"/>
    </row>
    <row r="2279" spans="1:13" ht="15.75">
      <c r="A2279" s="4">
        <v>46108</v>
      </c>
      <c r="B2279" s="39" t="s">
        <v>84</v>
      </c>
      <c r="C2279" s="39" t="s">
        <v>84</v>
      </c>
      <c r="D2279" s="39">
        <v>15058117542</v>
      </c>
      <c r="E2279" s="39">
        <v>1100</v>
      </c>
      <c r="F2279" s="39">
        <v>15058118642</v>
      </c>
      <c r="G2279" s="39">
        <v>443378657</v>
      </c>
      <c r="H2279" s="39">
        <v>100000000</v>
      </c>
      <c r="I2279" s="39">
        <v>543378657</v>
      </c>
      <c r="J2279" s="39">
        <v>15601497299</v>
      </c>
      <c r="K2279" s="24"/>
      <c r="L2279" s="24"/>
      <c r="M2279" s="24"/>
    </row>
    <row r="2280" spans="1:13" ht="15.75">
      <c r="A2280" s="4">
        <v>46109</v>
      </c>
      <c r="B2280" s="39" t="s">
        <v>84</v>
      </c>
      <c r="C2280" s="39" t="s">
        <v>84</v>
      </c>
      <c r="D2280" s="40" t="s">
        <v>90</v>
      </c>
      <c r="E2280" s="40" t="s">
        <v>85</v>
      </c>
      <c r="F2280" s="39" t="s">
        <v>86</v>
      </c>
      <c r="G2280" s="39">
        <v>10286578</v>
      </c>
      <c r="H2280" s="40" t="s">
        <v>85</v>
      </c>
      <c r="I2280" s="40">
        <v>10286578</v>
      </c>
      <c r="J2280" s="39">
        <v>10286578</v>
      </c>
      <c r="K2280" s="24"/>
      <c r="L2280" s="25"/>
      <c r="M2280" s="24"/>
    </row>
    <row r="2281" spans="1:13" ht="15.75">
      <c r="A2281" s="4">
        <v>46110</v>
      </c>
      <c r="B2281" s="39" t="s">
        <v>84</v>
      </c>
      <c r="C2281" s="39" t="s">
        <v>84</v>
      </c>
      <c r="D2281" s="40" t="s">
        <v>90</v>
      </c>
      <c r="E2281" s="40" t="s">
        <v>85</v>
      </c>
      <c r="F2281" s="39" t="s">
        <v>86</v>
      </c>
      <c r="G2281" s="39">
        <v>3616950</v>
      </c>
      <c r="H2281" s="40" t="s">
        <v>85</v>
      </c>
      <c r="I2281" s="40">
        <v>3616950</v>
      </c>
      <c r="J2281" s="39">
        <v>3616950</v>
      </c>
      <c r="K2281" s="24"/>
      <c r="L2281" s="25"/>
      <c r="M2281" s="24"/>
    </row>
    <row r="2282" spans="1:13" ht="15.75">
      <c r="A2282" s="4">
        <v>46111</v>
      </c>
      <c r="B2282" s="39" t="s">
        <v>84</v>
      </c>
      <c r="C2282" s="39" t="s">
        <v>84</v>
      </c>
      <c r="D2282" s="40">
        <v>9622783128.75</v>
      </c>
      <c r="E2282" s="40" t="s">
        <v>85</v>
      </c>
      <c r="F2282" s="39">
        <v>9622783128.75</v>
      </c>
      <c r="G2282" s="39">
        <v>676746362</v>
      </c>
      <c r="H2282" s="40" t="s">
        <v>85</v>
      </c>
      <c r="I2282" s="40">
        <v>676746362</v>
      </c>
      <c r="J2282" s="39">
        <v>10299529490.75</v>
      </c>
      <c r="K2282" s="24"/>
      <c r="L2282" s="25"/>
      <c r="M2282" s="24"/>
    </row>
    <row r="2283" spans="1:13" ht="15.75">
      <c r="A2283" s="4">
        <v>46112</v>
      </c>
      <c r="B2283" s="39"/>
      <c r="C2283" s="39" t="s">
        <v>84</v>
      </c>
      <c r="D2283" s="40">
        <v>11877998103</v>
      </c>
      <c r="E2283" s="40">
        <v>3326489881.6799998</v>
      </c>
      <c r="F2283" s="39">
        <v>15204487984.68</v>
      </c>
      <c r="G2283" s="39">
        <v>504656259.63</v>
      </c>
      <c r="H2283" s="40" t="s">
        <v>85</v>
      </c>
      <c r="I2283" s="40">
        <v>504656259.63</v>
      </c>
      <c r="J2283" s="39">
        <v>15709144244.309999</v>
      </c>
      <c r="K2283" s="24"/>
      <c r="L2283" s="25"/>
      <c r="M2283" s="24"/>
    </row>
    <row r="2284" spans="1:13" ht="15.75">
      <c r="A2284" s="4">
        <v>46113</v>
      </c>
      <c r="B2284" s="41"/>
      <c r="C2284" s="39" t="s">
        <v>84</v>
      </c>
      <c r="D2284" s="39" t="s">
        <v>84</v>
      </c>
      <c r="E2284" s="39" t="s">
        <v>84</v>
      </c>
      <c r="F2284" s="39" t="s">
        <v>86</v>
      </c>
      <c r="G2284" s="39">
        <v>6976654</v>
      </c>
      <c r="H2284" s="39" t="s">
        <v>85</v>
      </c>
      <c r="I2284" s="39">
        <v>6976654</v>
      </c>
      <c r="J2284" s="39">
        <v>6976654</v>
      </c>
      <c r="K2284" s="24"/>
      <c r="L2284" s="24"/>
      <c r="M2284" s="24"/>
    </row>
    <row r="2285" spans="1:13" ht="15.75">
      <c r="A2285" s="4">
        <v>46114</v>
      </c>
      <c r="B2285" s="41"/>
      <c r="C2285" s="39" t="s">
        <v>84</v>
      </c>
      <c r="D2285" s="39">
        <v>9431600841.5</v>
      </c>
      <c r="E2285" s="39" t="s">
        <v>85</v>
      </c>
      <c r="F2285" s="39">
        <v>9431600841.5</v>
      </c>
      <c r="G2285" s="39">
        <v>250752111</v>
      </c>
      <c r="H2285" s="39">
        <v>100000000</v>
      </c>
      <c r="I2285" s="39">
        <v>350752111</v>
      </c>
      <c r="J2285" s="39">
        <v>9782352952.5</v>
      </c>
      <c r="K2285" s="24"/>
      <c r="L2285" s="24"/>
      <c r="M2285" s="24"/>
    </row>
    <row r="2286" spans="1:13" ht="15.75">
      <c r="A2286" s="4">
        <v>46115</v>
      </c>
      <c r="B2286" s="41"/>
      <c r="C2286" s="39" t="s">
        <v>84</v>
      </c>
      <c r="D2286" s="39" t="s">
        <v>84</v>
      </c>
      <c r="E2286" s="39" t="s">
        <v>84</v>
      </c>
      <c r="F2286" s="39" t="s">
        <v>86</v>
      </c>
      <c r="G2286" s="39">
        <v>202398761</v>
      </c>
      <c r="H2286" s="39" t="s">
        <v>85</v>
      </c>
      <c r="I2286" s="39">
        <v>202398761</v>
      </c>
      <c r="J2286" s="39">
        <v>202398761</v>
      </c>
      <c r="K2286" s="24"/>
      <c r="L2286" s="24"/>
      <c r="M2286" s="24"/>
    </row>
    <row r="2287" spans="1:13" ht="15.75">
      <c r="A2287" s="4">
        <v>46116</v>
      </c>
      <c r="B2287" s="41"/>
      <c r="C2287" s="39" t="s">
        <v>84</v>
      </c>
      <c r="D2287" s="39" t="s">
        <v>84</v>
      </c>
      <c r="E2287" s="39" t="s">
        <v>84</v>
      </c>
      <c r="F2287" s="39" t="s">
        <v>86</v>
      </c>
      <c r="G2287" s="39">
        <v>8007100</v>
      </c>
      <c r="H2287" s="39" t="s">
        <v>85</v>
      </c>
      <c r="I2287" s="39">
        <v>8007100</v>
      </c>
      <c r="J2287" s="39">
        <v>8007100</v>
      </c>
      <c r="K2287" s="24"/>
      <c r="L2287" s="24"/>
      <c r="M2287" s="24"/>
    </row>
    <row r="2288" spans="1:13" ht="15.75">
      <c r="A2288" s="4">
        <v>46117</v>
      </c>
      <c r="B2288" s="41"/>
      <c r="C2288" s="39" t="s">
        <v>84</v>
      </c>
      <c r="D2288" s="39" t="s">
        <v>84</v>
      </c>
      <c r="E2288" s="39" t="s">
        <v>84</v>
      </c>
      <c r="F2288" s="39" t="s">
        <v>86</v>
      </c>
      <c r="G2288" s="39">
        <v>228632009</v>
      </c>
      <c r="H2288" s="39" t="s">
        <v>85</v>
      </c>
      <c r="I2288" s="39">
        <v>228632009</v>
      </c>
      <c r="J2288" s="39">
        <v>228632009</v>
      </c>
      <c r="K2288" s="24"/>
      <c r="L2288" s="24"/>
      <c r="M2288" s="24"/>
    </row>
    <row r="2289" spans="1:13" ht="15.75">
      <c r="A2289" s="4">
        <v>46118</v>
      </c>
      <c r="B2289" s="41"/>
      <c r="C2289" s="39" t="s">
        <v>84</v>
      </c>
      <c r="D2289" s="39">
        <v>13817242280.51</v>
      </c>
      <c r="E2289" s="39">
        <v>32045</v>
      </c>
      <c r="F2289" s="39">
        <v>13817274325.51</v>
      </c>
      <c r="G2289" s="39">
        <v>471710907</v>
      </c>
      <c r="H2289" s="39">
        <v>9680834300</v>
      </c>
      <c r="I2289" s="39">
        <v>10152545207</v>
      </c>
      <c r="J2289" s="39">
        <v>23969819532.509998</v>
      </c>
      <c r="K2289" s="24"/>
      <c r="L2289" s="24"/>
      <c r="M2289" s="24"/>
    </row>
    <row r="2290" spans="1:13" ht="15.75">
      <c r="A2290" s="4">
        <v>46119</v>
      </c>
      <c r="B2290" s="41"/>
      <c r="C2290" s="39" t="s">
        <v>84</v>
      </c>
      <c r="D2290" s="39">
        <v>11785126782.02</v>
      </c>
      <c r="E2290" s="39" t="s">
        <v>85</v>
      </c>
      <c r="F2290" s="39">
        <v>11785126782.02</v>
      </c>
      <c r="G2290" s="39">
        <v>654118043</v>
      </c>
      <c r="H2290" s="39" t="s">
        <v>85</v>
      </c>
      <c r="I2290" s="39">
        <v>654118043</v>
      </c>
      <c r="J2290" s="39">
        <v>12439244825.02</v>
      </c>
      <c r="K2290" s="24"/>
      <c r="L2290" s="24"/>
      <c r="M2290" s="24"/>
    </row>
    <row r="2291" spans="1:13" ht="15.75">
      <c r="A2291" s="4">
        <v>46120</v>
      </c>
      <c r="B2291" s="41"/>
      <c r="C2291" s="39" t="s">
        <v>84</v>
      </c>
      <c r="D2291" s="39">
        <v>9768876669</v>
      </c>
      <c r="E2291" s="39" t="s">
        <v>85</v>
      </c>
      <c r="F2291" s="39">
        <v>9768876669</v>
      </c>
      <c r="G2291" s="39">
        <v>435432455</v>
      </c>
      <c r="H2291" s="39" t="s">
        <v>85</v>
      </c>
      <c r="I2291" s="39">
        <v>435432455</v>
      </c>
      <c r="J2291" s="39">
        <v>10204309124</v>
      </c>
      <c r="K2291" s="24"/>
      <c r="L2291" s="24"/>
      <c r="M2291" s="24"/>
    </row>
    <row r="2292" spans="1:13" ht="15.75">
      <c r="A2292" s="4">
        <v>46121</v>
      </c>
      <c r="B2292" s="41"/>
      <c r="C2292" s="39" t="s">
        <v>84</v>
      </c>
      <c r="D2292" s="40">
        <v>9072281215.4899998</v>
      </c>
      <c r="E2292" s="40">
        <v>965000</v>
      </c>
      <c r="F2292" s="40">
        <v>9073246215.4899998</v>
      </c>
      <c r="G2292" s="40">
        <v>422304078</v>
      </c>
      <c r="H2292" s="40" t="s">
        <v>85</v>
      </c>
      <c r="I2292" s="40">
        <v>422304078</v>
      </c>
      <c r="J2292" s="40">
        <v>9495550293.4899998</v>
      </c>
      <c r="K2292" s="24"/>
      <c r="L2292" s="25"/>
      <c r="M2292" s="24"/>
    </row>
    <row r="2293" spans="1:13" ht="15.75">
      <c r="A2293" s="4">
        <v>46122</v>
      </c>
      <c r="B2293" s="41"/>
      <c r="C2293" s="39" t="s">
        <v>84</v>
      </c>
      <c r="D2293" s="39">
        <v>7191560595.1999998</v>
      </c>
      <c r="E2293" s="39">
        <v>38396</v>
      </c>
      <c r="F2293" s="40">
        <v>7191598991.1999998</v>
      </c>
      <c r="G2293" s="39">
        <v>575803626</v>
      </c>
      <c r="H2293" s="39">
        <v>100000000</v>
      </c>
      <c r="I2293" s="40">
        <v>675803626</v>
      </c>
      <c r="J2293" s="40">
        <v>7867402617.1999998</v>
      </c>
      <c r="K2293" s="24"/>
      <c r="L2293" s="24"/>
      <c r="M2293" s="24"/>
    </row>
    <row r="2294" spans="1:13" ht="15.75">
      <c r="A2294" s="4">
        <v>46123</v>
      </c>
      <c r="B2294" s="41"/>
      <c r="C2294" s="39" t="s">
        <v>84</v>
      </c>
      <c r="D2294" s="39" t="s">
        <v>84</v>
      </c>
      <c r="E2294" s="39" t="s">
        <v>84</v>
      </c>
      <c r="F2294" s="40" t="s">
        <v>86</v>
      </c>
      <c r="G2294" s="39" t="s">
        <v>84</v>
      </c>
      <c r="H2294" s="39" t="s">
        <v>84</v>
      </c>
      <c r="I2294" s="40" t="s">
        <v>84</v>
      </c>
      <c r="J2294" s="39" t="s">
        <v>88</v>
      </c>
      <c r="K2294" s="24"/>
      <c r="L2294" s="24"/>
      <c r="M2294" s="24"/>
    </row>
    <row r="2295" spans="1:13" ht="15.75">
      <c r="A2295" s="4">
        <v>46124</v>
      </c>
      <c r="B2295" s="41"/>
      <c r="C2295" s="39" t="s">
        <v>84</v>
      </c>
      <c r="D2295" s="39" t="s">
        <v>84</v>
      </c>
      <c r="E2295" s="39" t="s">
        <v>84</v>
      </c>
      <c r="F2295" s="39" t="s">
        <v>86</v>
      </c>
      <c r="G2295" s="40" t="s">
        <v>84</v>
      </c>
      <c r="H2295" s="40" t="s">
        <v>84</v>
      </c>
      <c r="I2295" s="40" t="s">
        <v>84</v>
      </c>
      <c r="J2295" s="39" t="s">
        <v>88</v>
      </c>
      <c r="K2295" s="24"/>
      <c r="L2295" s="24"/>
      <c r="M2295" s="24"/>
    </row>
    <row r="2296" spans="1:13" ht="15.75">
      <c r="A2296" s="4">
        <v>46125</v>
      </c>
      <c r="B2296" s="41"/>
      <c r="C2296" s="39" t="s">
        <v>84</v>
      </c>
      <c r="D2296" s="39" t="s">
        <v>84</v>
      </c>
      <c r="E2296" s="39" t="s">
        <v>84</v>
      </c>
      <c r="F2296" s="39" t="s">
        <v>86</v>
      </c>
      <c r="G2296" s="40" t="s">
        <v>84</v>
      </c>
      <c r="H2296" s="39" t="s">
        <v>84</v>
      </c>
      <c r="I2296" s="39" t="s">
        <v>84</v>
      </c>
      <c r="J2296" s="39" t="s">
        <v>88</v>
      </c>
      <c r="K2296" s="24"/>
      <c r="L2296" s="24"/>
      <c r="M2296" s="24"/>
    </row>
    <row r="2297" spans="1:13" ht="15.75">
      <c r="A2297" s="4">
        <v>46126</v>
      </c>
      <c r="B2297" s="41"/>
      <c r="C2297" s="39" t="s">
        <v>84</v>
      </c>
      <c r="D2297" s="39" t="s">
        <v>84</v>
      </c>
      <c r="E2297" s="39" t="s">
        <v>84</v>
      </c>
      <c r="F2297" s="39" t="s">
        <v>86</v>
      </c>
      <c r="G2297" s="39" t="s">
        <v>84</v>
      </c>
      <c r="H2297" s="39" t="s">
        <v>84</v>
      </c>
      <c r="I2297" s="39" t="s">
        <v>84</v>
      </c>
      <c r="J2297" s="39" t="s">
        <v>88</v>
      </c>
      <c r="K2297" s="24"/>
      <c r="L2297" s="24"/>
      <c r="M2297" s="24"/>
    </row>
    <row r="2298" spans="1:13" ht="15.75">
      <c r="A2298" s="4">
        <v>46127</v>
      </c>
      <c r="B2298" s="41"/>
      <c r="C2298" s="39" t="s">
        <v>84</v>
      </c>
      <c r="D2298" s="39">
        <v>5571939473</v>
      </c>
      <c r="E2298" s="39">
        <v>103464</v>
      </c>
      <c r="F2298" s="39">
        <v>5572042937</v>
      </c>
      <c r="G2298" s="39">
        <v>103746364</v>
      </c>
      <c r="H2298" s="39" t="s">
        <v>85</v>
      </c>
      <c r="I2298" s="39">
        <v>103746364</v>
      </c>
      <c r="J2298" s="39">
        <v>5675789301</v>
      </c>
      <c r="K2298" s="24"/>
      <c r="L2298" s="24"/>
      <c r="M2298" s="24"/>
    </row>
    <row r="2299" spans="1:13" ht="15.75">
      <c r="A2299" s="4">
        <v>46128</v>
      </c>
      <c r="B2299" s="41"/>
      <c r="C2299" s="39">
        <v>3000000000</v>
      </c>
      <c r="D2299" s="39">
        <v>5236208577</v>
      </c>
      <c r="E2299" s="39" t="s">
        <v>84</v>
      </c>
      <c r="F2299" s="39">
        <v>8236208577</v>
      </c>
      <c r="G2299" s="39">
        <v>251062954</v>
      </c>
      <c r="H2299" s="39" t="s">
        <v>84</v>
      </c>
      <c r="I2299" s="39">
        <v>251062954</v>
      </c>
      <c r="J2299" s="39">
        <v>8487271531</v>
      </c>
      <c r="K2299" s="24"/>
      <c r="L2299" s="24"/>
      <c r="M2299" s="24"/>
    </row>
    <row r="2300" spans="1:13" ht="15.75">
      <c r="A2300" s="4">
        <v>46129</v>
      </c>
      <c r="B2300" s="41"/>
      <c r="C2300" s="39" t="s">
        <v>89</v>
      </c>
      <c r="D2300" s="39">
        <v>13126561808</v>
      </c>
      <c r="E2300" s="39">
        <v>13998.6</v>
      </c>
      <c r="F2300" s="39">
        <v>13126575806.6</v>
      </c>
      <c r="G2300" s="39">
        <v>201877234</v>
      </c>
      <c r="H2300" s="39">
        <v>100000000</v>
      </c>
      <c r="I2300" s="39">
        <v>301877234</v>
      </c>
      <c r="J2300" s="39">
        <v>13428453040.6</v>
      </c>
      <c r="K2300" s="24"/>
      <c r="L2300" s="24"/>
      <c r="M2300" s="24"/>
    </row>
    <row r="2301" spans="1:13" ht="15.75">
      <c r="A2301" s="4">
        <v>46130</v>
      </c>
      <c r="B2301" s="41"/>
      <c r="C2301" s="39" t="s">
        <v>89</v>
      </c>
      <c r="D2301" s="39" t="s">
        <v>84</v>
      </c>
      <c r="E2301" s="39" t="s">
        <v>84</v>
      </c>
      <c r="F2301" s="39" t="s">
        <v>86</v>
      </c>
      <c r="G2301" s="39">
        <v>25047924</v>
      </c>
      <c r="H2301" s="39" t="s">
        <v>84</v>
      </c>
      <c r="I2301" s="39">
        <v>25047924</v>
      </c>
      <c r="J2301" s="39">
        <v>25047924</v>
      </c>
      <c r="K2301" s="24"/>
      <c r="L2301" s="24"/>
      <c r="M2301" s="24"/>
    </row>
    <row r="2302" spans="1:13" ht="15.75">
      <c r="A2302" s="4">
        <v>46131</v>
      </c>
      <c r="B2302" s="41"/>
      <c r="C2302" s="39" t="s">
        <v>89</v>
      </c>
      <c r="D2302" s="39" t="s">
        <v>84</v>
      </c>
      <c r="E2302" s="39" t="s">
        <v>84</v>
      </c>
      <c r="F2302" s="39" t="s">
        <v>86</v>
      </c>
      <c r="G2302" s="39">
        <v>4662755</v>
      </c>
      <c r="H2302" s="39" t="s">
        <v>84</v>
      </c>
      <c r="I2302" s="39">
        <v>4662755</v>
      </c>
      <c r="J2302" s="39">
        <v>4662755</v>
      </c>
      <c r="K2302" s="24"/>
      <c r="L2302" s="24"/>
      <c r="M2302" s="24"/>
    </row>
    <row r="2303" spans="1:13" ht="15.75">
      <c r="A2303" s="4">
        <v>46132</v>
      </c>
      <c r="B2303" s="41"/>
      <c r="C2303" s="39">
        <v>5228237632.29</v>
      </c>
      <c r="D2303" s="39">
        <v>9904349652.7099991</v>
      </c>
      <c r="E2303" s="39" t="s">
        <v>85</v>
      </c>
      <c r="F2303" s="39">
        <v>15132587285</v>
      </c>
      <c r="G2303" s="39">
        <v>866280645</v>
      </c>
      <c r="H2303" s="39" t="s">
        <v>85</v>
      </c>
      <c r="I2303" s="39">
        <v>866280645</v>
      </c>
      <c r="J2303" s="39">
        <v>15998867930</v>
      </c>
      <c r="K2303" s="24"/>
      <c r="L2303" s="24"/>
      <c r="M2303" s="24"/>
    </row>
    <row r="2304" spans="1:13" ht="15.75">
      <c r="A2304" s="4">
        <v>46133</v>
      </c>
      <c r="B2304" s="41"/>
      <c r="C2304" s="39" t="s">
        <v>89</v>
      </c>
      <c r="D2304" s="39">
        <v>11814643113.33</v>
      </c>
      <c r="E2304" s="39">
        <v>10350</v>
      </c>
      <c r="F2304" s="39">
        <v>11814653463.33</v>
      </c>
      <c r="G2304" s="39">
        <v>839937033</v>
      </c>
      <c r="H2304" s="39" t="s">
        <v>84</v>
      </c>
      <c r="I2304" s="39">
        <v>839937033</v>
      </c>
      <c r="J2304" s="39">
        <v>12654590496.33</v>
      </c>
      <c r="K2304" s="24"/>
      <c r="L2304" s="24"/>
      <c r="M2304" s="24"/>
    </row>
    <row r="2305" spans="1:13" ht="15.75">
      <c r="A2305" s="4">
        <v>46134</v>
      </c>
      <c r="B2305" s="41"/>
      <c r="C2305" s="39" t="s">
        <v>89</v>
      </c>
      <c r="D2305" s="39">
        <v>13128090029</v>
      </c>
      <c r="E2305" s="39">
        <v>794722.46</v>
      </c>
      <c r="F2305" s="39">
        <v>13128884751.459999</v>
      </c>
      <c r="G2305" s="39">
        <v>584067137</v>
      </c>
      <c r="H2305" s="39" t="s">
        <v>85</v>
      </c>
      <c r="I2305" s="39">
        <v>584067137</v>
      </c>
      <c r="J2305" s="39">
        <v>13712951888.459999</v>
      </c>
      <c r="K2305" s="24"/>
      <c r="L2305" s="24"/>
      <c r="M2305" s="24"/>
    </row>
    <row r="2306" spans="1:13" ht="15.75">
      <c r="A2306" s="4">
        <v>46135</v>
      </c>
      <c r="B2306" s="41"/>
      <c r="C2306" s="39" t="s">
        <v>89</v>
      </c>
      <c r="D2306" s="39">
        <v>10126863388.690001</v>
      </c>
      <c r="E2306" s="39" t="s">
        <v>85</v>
      </c>
      <c r="F2306" s="39">
        <v>10126863388.690001</v>
      </c>
      <c r="G2306" s="39">
        <v>490722265</v>
      </c>
      <c r="H2306" s="39" t="s">
        <v>85</v>
      </c>
      <c r="I2306" s="39">
        <v>490722265</v>
      </c>
      <c r="J2306" s="39">
        <v>10617585653.690001</v>
      </c>
      <c r="K2306" s="24"/>
      <c r="L2306" s="24"/>
      <c r="M2306" s="24"/>
    </row>
    <row r="2307" spans="1:13" ht="15.75">
      <c r="A2307" s="4">
        <v>46136</v>
      </c>
      <c r="B2307" s="41"/>
      <c r="C2307" s="39" t="s">
        <v>89</v>
      </c>
      <c r="D2307" s="39">
        <v>15770102507.58</v>
      </c>
      <c r="E2307" s="39">
        <v>306599.86</v>
      </c>
      <c r="F2307" s="39">
        <v>15770409107.440001</v>
      </c>
      <c r="G2307" s="39">
        <v>380643899</v>
      </c>
      <c r="H2307" s="39">
        <v>100000000</v>
      </c>
      <c r="I2307" s="39">
        <v>480643899</v>
      </c>
      <c r="J2307" s="39">
        <v>16251053006.440001</v>
      </c>
      <c r="K2307" s="24"/>
      <c r="L2307" s="24"/>
      <c r="M2307" s="24"/>
    </row>
    <row r="2308" spans="1:13" ht="15.75">
      <c r="A2308" s="4">
        <v>46137</v>
      </c>
      <c r="B2308" s="41"/>
      <c r="C2308" s="39" t="s">
        <v>89</v>
      </c>
      <c r="D2308" s="39" t="s">
        <v>90</v>
      </c>
      <c r="E2308" s="39" t="s">
        <v>85</v>
      </c>
      <c r="F2308" s="39" t="s">
        <v>86</v>
      </c>
      <c r="G2308" s="39">
        <v>28835244</v>
      </c>
      <c r="H2308" s="39" t="s">
        <v>85</v>
      </c>
      <c r="I2308" s="39">
        <v>28835244</v>
      </c>
      <c r="J2308" s="39">
        <v>28835244</v>
      </c>
      <c r="K2308" s="24"/>
      <c r="L2308" s="24"/>
      <c r="M2308" s="24"/>
    </row>
    <row r="2309" spans="1:13" ht="15.75">
      <c r="A2309" s="4">
        <v>46138</v>
      </c>
      <c r="B2309" s="41"/>
      <c r="C2309" s="39" t="s">
        <v>89</v>
      </c>
      <c r="D2309" s="39" t="s">
        <v>90</v>
      </c>
      <c r="E2309" s="39" t="s">
        <v>84</v>
      </c>
      <c r="F2309" s="39" t="s">
        <v>86</v>
      </c>
      <c r="G2309" s="39">
        <v>14165024</v>
      </c>
      <c r="H2309" s="39" t="s">
        <v>85</v>
      </c>
      <c r="I2309" s="39">
        <v>14165024</v>
      </c>
      <c r="J2309" s="39">
        <v>14165024</v>
      </c>
      <c r="K2309" s="24"/>
      <c r="L2309" s="24"/>
      <c r="M2309" s="24"/>
    </row>
    <row r="2310" spans="1:13" ht="15.75">
      <c r="A2310" s="4">
        <v>46139</v>
      </c>
      <c r="B2310" s="41"/>
      <c r="C2310" s="39" t="s">
        <v>89</v>
      </c>
      <c r="D2310" s="39">
        <v>14932883630.549999</v>
      </c>
      <c r="E2310" s="39" t="s">
        <v>85</v>
      </c>
      <c r="F2310" s="39">
        <v>14932883630.549999</v>
      </c>
      <c r="G2310" s="39">
        <v>457185011</v>
      </c>
      <c r="H2310" s="39" t="s">
        <v>85</v>
      </c>
      <c r="I2310" s="39">
        <v>457185011</v>
      </c>
      <c r="J2310" s="39">
        <v>15390068641.549999</v>
      </c>
      <c r="K2310" s="24"/>
      <c r="L2310" s="24"/>
      <c r="M2310" s="24"/>
    </row>
    <row r="2311" spans="1:13" ht="15.75">
      <c r="A2311" s="4">
        <v>46140</v>
      </c>
      <c r="B2311" s="41"/>
      <c r="C2311" s="39" t="s">
        <v>84</v>
      </c>
      <c r="D2311" s="40">
        <v>12405356813.6</v>
      </c>
      <c r="E2311" s="40">
        <v>221306926.58000001</v>
      </c>
      <c r="F2311" s="39">
        <v>12626663740.18</v>
      </c>
      <c r="G2311" s="39">
        <v>428893007</v>
      </c>
      <c r="H2311" s="40" t="s">
        <v>85</v>
      </c>
      <c r="I2311" s="40">
        <v>428893007</v>
      </c>
      <c r="J2311" s="39">
        <v>13055556747.18</v>
      </c>
      <c r="K2311" s="24"/>
      <c r="L2311" s="25"/>
      <c r="M2311" s="24"/>
    </row>
    <row r="2312" spans="1:13" ht="15.75">
      <c r="A2312" s="4">
        <v>46141</v>
      </c>
      <c r="B2312" s="41"/>
      <c r="C2312" s="39" t="s">
        <v>84</v>
      </c>
      <c r="D2312" s="40">
        <v>14748305595</v>
      </c>
      <c r="E2312" s="40">
        <v>71321214.969999999</v>
      </c>
      <c r="F2312" s="39">
        <v>14819626809.969999</v>
      </c>
      <c r="G2312" s="39">
        <v>455141712</v>
      </c>
      <c r="H2312" s="40" t="s">
        <v>85</v>
      </c>
      <c r="I2312" s="40">
        <v>455141712</v>
      </c>
      <c r="J2312" s="39">
        <v>15274768521.969999</v>
      </c>
      <c r="K2312" s="24"/>
      <c r="L2312" s="25"/>
      <c r="M2312" s="24"/>
    </row>
    <row r="2313" spans="1:13" ht="15.75">
      <c r="A2313" s="4">
        <v>46142</v>
      </c>
      <c r="B2313" s="41"/>
      <c r="C2313" s="39" t="s">
        <v>84</v>
      </c>
      <c r="D2313" s="40">
        <v>17021881389</v>
      </c>
      <c r="E2313" s="40">
        <v>4160568035.27</v>
      </c>
      <c r="F2313" s="39">
        <v>21182449424.27</v>
      </c>
      <c r="G2313" s="39">
        <v>411448059</v>
      </c>
      <c r="H2313" s="40">
        <v>100000000</v>
      </c>
      <c r="I2313" s="40">
        <v>511448059</v>
      </c>
      <c r="J2313" s="39">
        <v>21693897483.27</v>
      </c>
      <c r="K2313" s="24"/>
      <c r="L2313" s="25"/>
      <c r="M2313" s="24"/>
    </row>
    <row r="2314" spans="1:13">
      <c r="A2314" s="4">
        <v>46143</v>
      </c>
      <c r="B2314" s="32"/>
      <c r="C2314" s="32"/>
      <c r="D2314" s="32"/>
      <c r="E2314" s="32"/>
      <c r="F2314" s="32"/>
      <c r="G2314" s="32"/>
      <c r="H2314" s="32"/>
      <c r="I2314" s="32"/>
      <c r="J2314" s="32"/>
    </row>
    <row r="2315" spans="1:13">
      <c r="A2315" s="4">
        <v>46144</v>
      </c>
      <c r="B2315" s="32"/>
      <c r="C2315" s="32"/>
      <c r="D2315" s="32"/>
      <c r="E2315" s="32"/>
      <c r="F2315" s="32"/>
      <c r="G2315" s="32"/>
      <c r="H2315" s="32"/>
      <c r="I2315" s="32"/>
      <c r="J2315" s="32"/>
    </row>
    <row r="2316" spans="1:13">
      <c r="A2316" s="4">
        <v>46145</v>
      </c>
      <c r="B2316" s="32"/>
      <c r="C2316" s="32"/>
      <c r="D2316" s="32"/>
      <c r="E2316" s="32"/>
      <c r="F2316" s="32"/>
      <c r="G2316" s="32"/>
      <c r="H2316" s="32"/>
      <c r="I2316" s="32"/>
      <c r="J2316" s="32"/>
    </row>
    <row r="2317" spans="1:13">
      <c r="A2317" s="4">
        <v>46146</v>
      </c>
      <c r="B2317" s="32"/>
      <c r="C2317" s="32"/>
      <c r="D2317" s="32">
        <v>10156267258.709999</v>
      </c>
      <c r="E2317" s="32">
        <v>38570</v>
      </c>
      <c r="F2317" s="32">
        <v>10156305828.709999</v>
      </c>
      <c r="G2317" s="32">
        <v>765064028</v>
      </c>
      <c r="H2317" s="32" t="s">
        <v>54</v>
      </c>
      <c r="I2317" s="32">
        <v>765064028</v>
      </c>
      <c r="J2317" s="32">
        <v>10921369856.709999</v>
      </c>
    </row>
    <row r="2318" spans="1:13">
      <c r="A2318" s="4">
        <v>46147</v>
      </c>
      <c r="B2318" s="32"/>
      <c r="C2318" s="32"/>
      <c r="D2318" s="32">
        <v>10498770225</v>
      </c>
      <c r="E2318" s="32">
        <v>47739158.350000001</v>
      </c>
      <c r="F2318" s="32">
        <v>10546509383.35</v>
      </c>
      <c r="G2318" s="32">
        <v>296990714</v>
      </c>
      <c r="H2318" s="32" t="s">
        <v>54</v>
      </c>
      <c r="I2318" s="32">
        <v>296990714</v>
      </c>
      <c r="J2318" s="32">
        <v>10843500097.35</v>
      </c>
    </row>
    <row r="2319" spans="1:13">
      <c r="A2319" s="4">
        <v>46148</v>
      </c>
      <c r="B2319" s="32"/>
      <c r="C2319" s="32"/>
      <c r="D2319" s="32">
        <v>9723439510.2600002</v>
      </c>
      <c r="E2319" s="32" t="s">
        <v>54</v>
      </c>
      <c r="F2319" s="32">
        <v>9723439510.2600002</v>
      </c>
      <c r="G2319" s="32">
        <v>405405317</v>
      </c>
      <c r="H2319" s="32">
        <v>7815080400</v>
      </c>
      <c r="I2319" s="32">
        <v>8220485717</v>
      </c>
      <c r="J2319" s="32">
        <v>17943925227.259998</v>
      </c>
    </row>
    <row r="2320" spans="1:13">
      <c r="A2320" s="4">
        <v>46149</v>
      </c>
      <c r="B2320" s="32"/>
      <c r="C2320" s="32"/>
      <c r="D2320" s="32">
        <v>9737214520</v>
      </c>
      <c r="E2320" s="32" t="s">
        <v>54</v>
      </c>
      <c r="F2320" s="32">
        <v>9737214520</v>
      </c>
      <c r="G2320" s="32">
        <v>537463515</v>
      </c>
      <c r="H2320" s="32" t="s">
        <v>54</v>
      </c>
      <c r="I2320" s="32">
        <v>537463515</v>
      </c>
      <c r="J2320" s="32">
        <v>10274678035</v>
      </c>
    </row>
    <row r="2321" spans="1:11">
      <c r="A2321" s="4">
        <v>46150</v>
      </c>
      <c r="B2321" s="32"/>
      <c r="C2321" s="32"/>
      <c r="D2321" s="32">
        <v>9369757759.8400002</v>
      </c>
      <c r="E2321" s="32" t="s">
        <v>54</v>
      </c>
      <c r="F2321" s="32">
        <v>9369757759.8400002</v>
      </c>
      <c r="G2321" s="32">
        <v>1379531463</v>
      </c>
      <c r="H2321" s="32">
        <v>100000000</v>
      </c>
      <c r="I2321" s="32">
        <v>1479531463</v>
      </c>
      <c r="J2321" s="32">
        <v>10849289222.84</v>
      </c>
    </row>
    <row r="2322" spans="1:11">
      <c r="A2322" s="4">
        <v>46151</v>
      </c>
      <c r="B2322" s="32"/>
      <c r="C2322" s="32"/>
      <c r="D2322" s="32"/>
      <c r="E2322" s="32"/>
      <c r="F2322" s="32" t="s">
        <v>54</v>
      </c>
      <c r="G2322" s="32">
        <v>8256589</v>
      </c>
      <c r="H2322" s="32" t="s">
        <v>54</v>
      </c>
      <c r="I2322" s="32">
        <v>8256589</v>
      </c>
      <c r="J2322" s="32">
        <v>8256589</v>
      </c>
    </row>
    <row r="2323" spans="1:11">
      <c r="A2323" s="4">
        <v>46152</v>
      </c>
      <c r="B2323" s="32"/>
      <c r="C2323" s="32"/>
      <c r="D2323" s="32"/>
      <c r="E2323" s="32"/>
      <c r="F2323" s="32" t="s">
        <v>54</v>
      </c>
      <c r="G2323" s="32">
        <v>232168104</v>
      </c>
      <c r="H2323" s="32" t="s">
        <v>54</v>
      </c>
      <c r="I2323" s="32">
        <v>232168104</v>
      </c>
      <c r="J2323" s="32">
        <v>232168104</v>
      </c>
    </row>
    <row r="2324" spans="1:11">
      <c r="A2324" s="4">
        <v>46153</v>
      </c>
      <c r="B2324" s="32"/>
      <c r="C2324" s="32"/>
      <c r="D2324" s="32">
        <v>15189491829</v>
      </c>
      <c r="E2324" s="32" t="s">
        <v>54</v>
      </c>
      <c r="F2324" s="32">
        <v>15189491829</v>
      </c>
      <c r="G2324" s="32">
        <v>221876991</v>
      </c>
      <c r="H2324" s="32" t="s">
        <v>54</v>
      </c>
      <c r="I2324" s="32">
        <v>221876991</v>
      </c>
      <c r="J2324" s="32">
        <v>15411368820</v>
      </c>
    </row>
    <row r="2325" spans="1:11">
      <c r="A2325" s="4">
        <v>46154</v>
      </c>
      <c r="B2325" s="32"/>
      <c r="C2325" s="32"/>
      <c r="D2325" s="32">
        <v>13025141914.719999</v>
      </c>
      <c r="E2325" s="32" t="s">
        <v>54</v>
      </c>
      <c r="F2325" s="32">
        <v>13025141914.719999</v>
      </c>
      <c r="G2325" s="32">
        <v>263565630</v>
      </c>
      <c r="H2325" s="32" t="s">
        <v>54</v>
      </c>
      <c r="I2325" s="32">
        <v>263565630</v>
      </c>
      <c r="J2325" s="32">
        <v>13288707544.719999</v>
      </c>
    </row>
    <row r="2326" spans="1:11">
      <c r="A2326" s="4">
        <v>46155</v>
      </c>
      <c r="B2326" s="32"/>
      <c r="C2326" s="32"/>
      <c r="D2326" s="32">
        <v>8537186478.6400003</v>
      </c>
      <c r="E2326" s="32" t="s">
        <v>54</v>
      </c>
      <c r="F2326" s="32">
        <v>8537186478.6400003</v>
      </c>
      <c r="G2326" s="32">
        <v>515073462</v>
      </c>
      <c r="H2326" s="32" t="s">
        <v>54</v>
      </c>
      <c r="I2326" s="32">
        <v>515073462</v>
      </c>
      <c r="J2326" s="32">
        <v>9052259940.6399994</v>
      </c>
    </row>
    <row r="2327" spans="1:11">
      <c r="A2327" s="4">
        <v>46156</v>
      </c>
      <c r="B2327" s="32"/>
      <c r="C2327" s="32"/>
      <c r="D2327" s="32">
        <v>6752711949</v>
      </c>
      <c r="E2327" s="32" t="s">
        <v>54</v>
      </c>
      <c r="F2327" s="32">
        <v>6752711949</v>
      </c>
      <c r="G2327" s="32">
        <v>432882902</v>
      </c>
      <c r="H2327" s="32" t="s">
        <v>54</v>
      </c>
      <c r="I2327" s="32">
        <v>432882902</v>
      </c>
      <c r="J2327" s="32">
        <v>7185594851</v>
      </c>
    </row>
    <row r="2328" spans="1:11">
      <c r="A2328" s="4">
        <v>46157</v>
      </c>
      <c r="B2328" s="32"/>
      <c r="C2328" s="32"/>
      <c r="D2328" s="32">
        <v>7807786050.1899996</v>
      </c>
      <c r="E2328" s="32" t="s">
        <v>54</v>
      </c>
      <c r="F2328" s="32">
        <v>7807786050.1899996</v>
      </c>
      <c r="G2328" s="32">
        <v>407016412</v>
      </c>
      <c r="H2328" s="32">
        <v>100000000</v>
      </c>
      <c r="I2328" s="32">
        <v>507016412</v>
      </c>
      <c r="J2328" s="32">
        <v>8314802462.1899996</v>
      </c>
    </row>
    <row r="2329" spans="1:11">
      <c r="A2329" s="4">
        <v>46158</v>
      </c>
      <c r="B2329" s="32"/>
      <c r="C2329" s="32"/>
      <c r="D2329" s="32" t="s">
        <v>54</v>
      </c>
      <c r="E2329" s="32" t="s">
        <v>54</v>
      </c>
      <c r="F2329" s="32" t="s">
        <v>54</v>
      </c>
      <c r="G2329" s="32">
        <v>24775023</v>
      </c>
      <c r="H2329" s="32" t="s">
        <v>54</v>
      </c>
      <c r="I2329" s="32">
        <v>24775023</v>
      </c>
      <c r="J2329" s="32">
        <v>24775023</v>
      </c>
    </row>
    <row r="2330" spans="1:11">
      <c r="A2330" s="4">
        <v>46159</v>
      </c>
      <c r="B2330" s="32"/>
      <c r="C2330" s="32"/>
      <c r="D2330" s="32" t="s">
        <v>54</v>
      </c>
      <c r="E2330" s="32" t="s">
        <v>54</v>
      </c>
      <c r="F2330" s="32" t="s">
        <v>54</v>
      </c>
      <c r="G2330" s="32">
        <v>663852</v>
      </c>
      <c r="H2330" s="32" t="s">
        <v>54</v>
      </c>
      <c r="I2330" s="32">
        <v>663852</v>
      </c>
      <c r="J2330" s="32">
        <v>663852</v>
      </c>
    </row>
    <row r="2331" spans="1:11">
      <c r="A2331" s="4">
        <v>46160</v>
      </c>
      <c r="B2331" s="32"/>
      <c r="C2331" s="32"/>
      <c r="D2331" s="32">
        <v>7454397395.8800001</v>
      </c>
      <c r="E2331" s="32" t="s">
        <v>54</v>
      </c>
      <c r="F2331" s="32">
        <v>7454397395.8800001</v>
      </c>
      <c r="G2331" s="32">
        <v>168907845</v>
      </c>
      <c r="H2331" s="32" t="s">
        <v>54</v>
      </c>
      <c r="I2331" s="32">
        <v>168907845</v>
      </c>
      <c r="J2331" s="32">
        <v>7623305240.8800001</v>
      </c>
    </row>
    <row r="2332" spans="1:11">
      <c r="A2332" s="4">
        <v>46161</v>
      </c>
      <c r="B2332" s="32"/>
      <c r="C2332" s="32"/>
      <c r="D2332" s="32">
        <v>11180061973.99</v>
      </c>
      <c r="E2332" s="32" t="s">
        <v>54</v>
      </c>
      <c r="F2332" s="32">
        <v>11180061973.99</v>
      </c>
      <c r="G2332" s="32">
        <v>11180061973.99</v>
      </c>
      <c r="H2332" s="32" t="s">
        <v>54</v>
      </c>
      <c r="I2332" s="32">
        <v>635766261</v>
      </c>
      <c r="J2332" s="32">
        <v>11815828234.99</v>
      </c>
    </row>
    <row r="2333" spans="1:11" ht="15.75">
      <c r="A2333" s="4">
        <v>46162</v>
      </c>
      <c r="B2333" s="42" t="s">
        <v>84</v>
      </c>
      <c r="C2333" s="42" t="s">
        <v>84</v>
      </c>
      <c r="D2333" s="43">
        <v>14456936908.6</v>
      </c>
      <c r="E2333" s="43" t="s">
        <v>85</v>
      </c>
      <c r="F2333" s="43">
        <v>14456936908.6</v>
      </c>
      <c r="G2333" s="43">
        <v>424177109</v>
      </c>
      <c r="H2333" s="43" t="s">
        <v>85</v>
      </c>
      <c r="I2333" s="43">
        <v>424177109</v>
      </c>
      <c r="J2333" s="43">
        <v>14881114017.6</v>
      </c>
      <c r="K2333" s="27"/>
    </row>
    <row r="2334" spans="1:11" ht="15.75">
      <c r="A2334" s="4">
        <v>46163</v>
      </c>
      <c r="B2334" s="42" t="s">
        <v>84</v>
      </c>
      <c r="C2334" s="42" t="s">
        <v>84</v>
      </c>
      <c r="D2334" s="43">
        <v>10054509676</v>
      </c>
      <c r="E2334" s="43" t="s">
        <v>85</v>
      </c>
      <c r="F2334" s="43">
        <v>10054509676</v>
      </c>
      <c r="G2334" s="43">
        <v>697085123</v>
      </c>
      <c r="H2334" s="43" t="s">
        <v>85</v>
      </c>
      <c r="I2334" s="43">
        <v>697085123</v>
      </c>
      <c r="J2334" s="43">
        <v>10751594799</v>
      </c>
      <c r="K2334" s="27"/>
    </row>
    <row r="2335" spans="1:11" ht="15.75">
      <c r="A2335" s="4">
        <v>46164</v>
      </c>
      <c r="B2335" s="42" t="s">
        <v>84</v>
      </c>
      <c r="C2335" s="42" t="s">
        <v>84</v>
      </c>
      <c r="D2335" s="43">
        <v>14458269373.17</v>
      </c>
      <c r="E2335" s="43" t="s">
        <v>84</v>
      </c>
      <c r="F2335" s="43">
        <v>14458269373.17</v>
      </c>
      <c r="G2335" s="43">
        <v>454579523</v>
      </c>
      <c r="H2335" s="43">
        <v>100000000</v>
      </c>
      <c r="I2335" s="43">
        <v>554579523</v>
      </c>
      <c r="J2335" s="43">
        <v>15012848896.17</v>
      </c>
      <c r="K2335" s="27"/>
    </row>
    <row r="2336" spans="1:11" ht="15.75">
      <c r="A2336" s="4">
        <v>46165</v>
      </c>
      <c r="B2336" s="44" t="s">
        <v>84</v>
      </c>
      <c r="C2336" s="44" t="s">
        <v>84</v>
      </c>
      <c r="D2336" s="85" t="s">
        <v>84</v>
      </c>
      <c r="E2336" s="85" t="s">
        <v>84</v>
      </c>
      <c r="F2336" s="85" t="s">
        <v>86</v>
      </c>
      <c r="G2336" s="85">
        <v>14994418</v>
      </c>
      <c r="H2336" s="85" t="s">
        <v>85</v>
      </c>
      <c r="I2336" s="85">
        <v>14994418</v>
      </c>
      <c r="J2336" s="85">
        <v>14994418</v>
      </c>
      <c r="K2336" s="86"/>
    </row>
    <row r="2337" spans="1:11" ht="15.75">
      <c r="A2337" s="4">
        <v>46166</v>
      </c>
      <c r="B2337" s="44" t="s">
        <v>84</v>
      </c>
      <c r="C2337" s="44" t="s">
        <v>84</v>
      </c>
      <c r="D2337" s="85" t="s">
        <v>84</v>
      </c>
      <c r="E2337" s="85" t="s">
        <v>84</v>
      </c>
      <c r="F2337" s="85" t="s">
        <v>86</v>
      </c>
      <c r="G2337" s="85">
        <v>5377883</v>
      </c>
      <c r="H2337" s="85" t="s">
        <v>85</v>
      </c>
      <c r="I2337" s="85">
        <v>5377883</v>
      </c>
      <c r="J2337" s="85">
        <v>5377883</v>
      </c>
      <c r="K2337" s="86"/>
    </row>
    <row r="2338" spans="1:11" ht="15.75">
      <c r="A2338" s="4">
        <v>46167</v>
      </c>
      <c r="B2338" s="42" t="s">
        <v>84</v>
      </c>
      <c r="C2338" s="42" t="s">
        <v>84</v>
      </c>
      <c r="D2338" s="43">
        <v>16069260501.959999</v>
      </c>
      <c r="E2338" s="43" t="s">
        <v>85</v>
      </c>
      <c r="F2338" s="43">
        <v>16069260501.959999</v>
      </c>
      <c r="G2338" s="43">
        <v>421688227</v>
      </c>
      <c r="H2338" s="43" t="s">
        <v>85</v>
      </c>
      <c r="I2338" s="43">
        <v>421688227</v>
      </c>
      <c r="J2338" s="43">
        <v>16490948728.959999</v>
      </c>
      <c r="K2338" s="27"/>
    </row>
    <row r="2339" spans="1:11" ht="15.75">
      <c r="A2339" s="4">
        <v>46168</v>
      </c>
      <c r="B2339" s="42" t="s">
        <v>84</v>
      </c>
      <c r="C2339" s="42" t="s">
        <v>84</v>
      </c>
      <c r="D2339" s="43">
        <v>7984815654</v>
      </c>
      <c r="E2339" s="43">
        <v>218276.76</v>
      </c>
      <c r="F2339" s="43">
        <v>7985033930.7600002</v>
      </c>
      <c r="G2339" s="43">
        <v>181168600</v>
      </c>
      <c r="H2339" s="43" t="s">
        <v>85</v>
      </c>
      <c r="I2339" s="43">
        <v>181168600</v>
      </c>
      <c r="J2339" s="43">
        <v>8166202530.7600002</v>
      </c>
      <c r="K2339" s="27"/>
    </row>
    <row r="2340" spans="1:11" ht="15.75">
      <c r="A2340" s="4">
        <v>46169</v>
      </c>
      <c r="B2340" s="42" t="s">
        <v>84</v>
      </c>
      <c r="C2340" s="42" t="s">
        <v>84</v>
      </c>
      <c r="D2340" s="43">
        <v>12701984800.48</v>
      </c>
      <c r="E2340" s="43" t="s">
        <v>84</v>
      </c>
      <c r="F2340" s="43">
        <v>12701984800.48</v>
      </c>
      <c r="G2340" s="43">
        <v>723143179</v>
      </c>
      <c r="H2340" s="43" t="s">
        <v>85</v>
      </c>
      <c r="I2340" s="43">
        <v>723143179</v>
      </c>
      <c r="J2340" s="43">
        <v>13425127979.48</v>
      </c>
      <c r="K2340" s="27"/>
    </row>
    <row r="2341" spans="1:11" ht="15.75">
      <c r="A2341" s="4">
        <v>46170</v>
      </c>
      <c r="B2341" s="39" t="s">
        <v>84</v>
      </c>
      <c r="C2341" s="39" t="s">
        <v>84</v>
      </c>
      <c r="D2341" s="45"/>
      <c r="E2341" s="45"/>
      <c r="F2341" s="46" t="s">
        <v>54</v>
      </c>
      <c r="G2341" s="46">
        <v>1715315</v>
      </c>
      <c r="H2341" s="45"/>
      <c r="I2341" s="45">
        <v>1715315</v>
      </c>
      <c r="J2341" s="46">
        <v>1715315</v>
      </c>
      <c r="K2341" s="31"/>
    </row>
    <row r="2342" spans="1:11">
      <c r="A2342" s="4">
        <v>46171</v>
      </c>
      <c r="B2342" s="43" t="s">
        <v>84</v>
      </c>
      <c r="C2342" s="43" t="s">
        <v>84</v>
      </c>
      <c r="D2342" s="47">
        <v>5226740993.29</v>
      </c>
      <c r="E2342" s="47"/>
      <c r="F2342" s="43">
        <v>5226740993.29</v>
      </c>
      <c r="G2342" s="43">
        <v>149409793</v>
      </c>
      <c r="H2342" s="47"/>
      <c r="I2342" s="47">
        <v>149409793</v>
      </c>
      <c r="J2342" s="43">
        <v>5376150786.29</v>
      </c>
      <c r="K2342" s="27"/>
    </row>
    <row r="2343" spans="1:11">
      <c r="A2343" s="4">
        <v>46172</v>
      </c>
      <c r="B2343" s="32"/>
      <c r="C2343" s="32"/>
      <c r="D2343" s="32"/>
      <c r="E2343" s="32"/>
      <c r="F2343" s="32" t="s">
        <v>54</v>
      </c>
      <c r="G2343" s="32">
        <v>542350</v>
      </c>
      <c r="H2343" s="32"/>
      <c r="I2343" s="32">
        <v>542350</v>
      </c>
      <c r="J2343" s="32">
        <v>542350</v>
      </c>
    </row>
    <row r="2344" spans="1:11">
      <c r="A2344" s="4">
        <v>46173</v>
      </c>
      <c r="B2344" s="32"/>
      <c r="C2344" s="32"/>
      <c r="D2344" s="32"/>
      <c r="E2344" s="32"/>
      <c r="F2344" s="32"/>
      <c r="G2344" s="32">
        <v>1162250</v>
      </c>
      <c r="H2344" s="32"/>
      <c r="I2344" s="32"/>
      <c r="J2344" s="32">
        <f>D2344+E2344+G2344+H2344</f>
        <v>1162250</v>
      </c>
    </row>
    <row r="2345" spans="1:11">
      <c r="A2345" s="4">
        <v>46174</v>
      </c>
      <c r="B2345" s="32"/>
      <c r="C2345" s="32"/>
      <c r="D2345" s="32">
        <v>9747978585.0900002</v>
      </c>
      <c r="E2345" s="32"/>
      <c r="F2345" s="32">
        <v>9747978585.0900002</v>
      </c>
      <c r="G2345" s="32">
        <v>1005261596</v>
      </c>
      <c r="H2345" s="32"/>
      <c r="I2345" s="32">
        <v>1005261596</v>
      </c>
      <c r="J2345" s="32">
        <v>10753240181.09</v>
      </c>
    </row>
    <row r="2346" spans="1:11">
      <c r="A2346" s="4">
        <v>46175</v>
      </c>
      <c r="B2346" s="43" t="s">
        <v>84</v>
      </c>
      <c r="C2346" s="43" t="s">
        <v>84</v>
      </c>
      <c r="D2346" s="43">
        <v>15093905559.370001</v>
      </c>
      <c r="E2346" s="43" t="s">
        <v>85</v>
      </c>
      <c r="F2346" s="43">
        <v>15093905559.370001</v>
      </c>
      <c r="G2346" s="43">
        <v>613371632</v>
      </c>
      <c r="H2346" s="43" t="s">
        <v>85</v>
      </c>
      <c r="I2346" s="43">
        <v>613371632</v>
      </c>
      <c r="J2346" s="43">
        <v>15707277191.370001</v>
      </c>
      <c r="K2346" s="27"/>
    </row>
    <row r="2347" spans="1:11">
      <c r="A2347" s="4">
        <v>46176</v>
      </c>
      <c r="B2347" s="43" t="s">
        <v>84</v>
      </c>
      <c r="C2347" s="43" t="s">
        <v>84</v>
      </c>
      <c r="D2347" s="43">
        <v>10402732851.879999</v>
      </c>
      <c r="E2347" s="43" t="s">
        <v>85</v>
      </c>
      <c r="F2347" s="43">
        <v>10402732851.879999</v>
      </c>
      <c r="G2347" s="43">
        <v>372545520</v>
      </c>
      <c r="H2347" s="43" t="s">
        <v>85</v>
      </c>
      <c r="I2347" s="43">
        <v>372545520</v>
      </c>
      <c r="J2347" s="43">
        <v>10775278371.879999</v>
      </c>
      <c r="K2347" s="27"/>
    </row>
    <row r="2348" spans="1:11" ht="15.75">
      <c r="A2348" s="4">
        <v>46177</v>
      </c>
      <c r="B2348" s="42" t="s">
        <v>84</v>
      </c>
      <c r="C2348" s="42" t="s">
        <v>84</v>
      </c>
      <c r="D2348" s="43">
        <v>8406326671.4799995</v>
      </c>
      <c r="E2348" s="43" t="s">
        <v>85</v>
      </c>
      <c r="F2348" s="43">
        <v>8406326671.4799995</v>
      </c>
      <c r="G2348" s="43">
        <v>224696485</v>
      </c>
      <c r="H2348" s="43" t="s">
        <v>84</v>
      </c>
      <c r="I2348" s="43">
        <v>224696485</v>
      </c>
      <c r="J2348" s="43">
        <v>8631023156.4799995</v>
      </c>
      <c r="K2348" s="27"/>
    </row>
    <row r="2349" spans="1:11" ht="15.75">
      <c r="A2349" s="4">
        <v>46178</v>
      </c>
      <c r="B2349" s="42" t="s">
        <v>84</v>
      </c>
      <c r="C2349" s="42" t="s">
        <v>84</v>
      </c>
      <c r="D2349" s="43">
        <v>9509328504</v>
      </c>
      <c r="E2349" s="43" t="s">
        <v>84</v>
      </c>
      <c r="F2349" s="43">
        <v>9509328504</v>
      </c>
      <c r="G2349" s="43">
        <v>702285884</v>
      </c>
      <c r="H2349" s="43">
        <v>9551928700</v>
      </c>
      <c r="I2349" s="43">
        <v>10254214584</v>
      </c>
      <c r="J2349" s="43">
        <v>19763543088</v>
      </c>
      <c r="K2349" s="27"/>
    </row>
    <row r="2350" spans="1:11">
      <c r="A2350" s="4">
        <v>46179</v>
      </c>
      <c r="B2350" s="43" t="s">
        <v>84</v>
      </c>
      <c r="C2350" s="43" t="s">
        <v>84</v>
      </c>
      <c r="D2350" s="43"/>
      <c r="E2350" s="43"/>
      <c r="F2350" s="43"/>
      <c r="G2350" s="43"/>
      <c r="H2350" s="43"/>
      <c r="I2350" s="43"/>
      <c r="J2350" s="43"/>
      <c r="K2350" s="27"/>
    </row>
    <row r="2351" spans="1:11">
      <c r="A2351" s="4">
        <v>46180</v>
      </c>
      <c r="B2351" s="43" t="s">
        <v>84</v>
      </c>
      <c r="C2351" s="43" t="s">
        <v>84</v>
      </c>
      <c r="D2351" s="47"/>
      <c r="E2351" s="47"/>
      <c r="F2351" s="47"/>
      <c r="G2351" s="47"/>
      <c r="H2351" s="47"/>
      <c r="I2351" s="47"/>
      <c r="J2351" s="47"/>
      <c r="K2351" s="27"/>
    </row>
    <row r="2352" spans="1:11">
      <c r="A2352" s="4">
        <v>46181</v>
      </c>
      <c r="B2352" s="43" t="s">
        <v>84</v>
      </c>
      <c r="C2352" s="43" t="s">
        <v>84</v>
      </c>
      <c r="D2352" s="43">
        <v>11336733850.799999</v>
      </c>
      <c r="E2352" s="43" t="s">
        <v>85</v>
      </c>
      <c r="F2352" s="43">
        <v>11336733850.799999</v>
      </c>
      <c r="G2352" s="43">
        <v>538615257</v>
      </c>
      <c r="H2352" s="43" t="s">
        <v>85</v>
      </c>
      <c r="I2352" s="43">
        <v>538615257</v>
      </c>
      <c r="J2352" s="43">
        <v>11875349107.799999</v>
      </c>
      <c r="K2352" s="27"/>
    </row>
    <row r="2353" spans="1:12">
      <c r="A2353" s="4">
        <v>46182</v>
      </c>
      <c r="B2353" s="43" t="s">
        <v>84</v>
      </c>
      <c r="C2353" s="43" t="s">
        <v>84</v>
      </c>
      <c r="D2353" s="47">
        <v>14717212572.690001</v>
      </c>
      <c r="E2353" s="47" t="s">
        <v>84</v>
      </c>
      <c r="F2353" s="47">
        <v>14717212572.690001</v>
      </c>
      <c r="G2353" s="47">
        <v>295745493</v>
      </c>
      <c r="H2353" s="47" t="s">
        <v>84</v>
      </c>
      <c r="I2353" s="47">
        <v>295745493</v>
      </c>
      <c r="J2353" s="47">
        <v>15012958065.690001</v>
      </c>
      <c r="K2353" s="27"/>
    </row>
    <row r="2354" spans="1:12">
      <c r="A2354" s="4">
        <v>46183</v>
      </c>
      <c r="B2354" s="43" t="s">
        <v>84</v>
      </c>
      <c r="C2354" s="43">
        <v>3000000000</v>
      </c>
      <c r="D2354" s="43">
        <v>6094226618.2799997</v>
      </c>
      <c r="E2354" s="43" t="s">
        <v>85</v>
      </c>
      <c r="F2354" s="47">
        <v>9094226618.2800007</v>
      </c>
      <c r="G2354" s="43">
        <v>2878085023</v>
      </c>
      <c r="H2354" s="43" t="s">
        <v>85</v>
      </c>
      <c r="I2354" s="47">
        <v>2878085023</v>
      </c>
      <c r="J2354" s="47">
        <v>11972311641.280001</v>
      </c>
      <c r="K2354" s="27"/>
    </row>
    <row r="2355" spans="1:12">
      <c r="A2355" s="4">
        <v>46184</v>
      </c>
      <c r="B2355" s="43" t="s">
        <v>84</v>
      </c>
      <c r="C2355" s="43">
        <v>3000000000</v>
      </c>
      <c r="D2355" s="43">
        <v>8410754922.8999996</v>
      </c>
      <c r="E2355" s="43" t="s">
        <v>85</v>
      </c>
      <c r="F2355" s="47">
        <v>11410754922.9</v>
      </c>
      <c r="G2355" s="43">
        <v>326710847</v>
      </c>
      <c r="H2355" s="43" t="s">
        <v>85</v>
      </c>
      <c r="I2355" s="47">
        <v>326710847</v>
      </c>
      <c r="J2355" s="43">
        <v>11737465769.9</v>
      </c>
      <c r="K2355" s="27"/>
    </row>
    <row r="2356" spans="1:12">
      <c r="A2356" s="4">
        <v>46185</v>
      </c>
      <c r="B2356" s="48"/>
      <c r="C2356" s="46">
        <v>2350174885.0599999</v>
      </c>
      <c r="D2356" s="46">
        <v>3774753425.25</v>
      </c>
      <c r="E2356" s="46" t="s">
        <v>85</v>
      </c>
      <c r="F2356" s="46">
        <v>6124928310.3100004</v>
      </c>
      <c r="G2356" s="45">
        <v>645950638</v>
      </c>
      <c r="H2356" s="45">
        <v>100000000</v>
      </c>
      <c r="I2356" s="45">
        <v>745950638</v>
      </c>
      <c r="J2356" s="46">
        <v>6870878948.3100004</v>
      </c>
      <c r="K2356" s="31"/>
      <c r="L2356" s="31"/>
    </row>
    <row r="2357" spans="1:12">
      <c r="A2357" s="4">
        <v>46186</v>
      </c>
      <c r="B2357" s="48"/>
      <c r="C2357" s="46" t="s">
        <v>84</v>
      </c>
      <c r="D2357" s="46" t="s">
        <v>84</v>
      </c>
      <c r="E2357" s="46" t="s">
        <v>84</v>
      </c>
      <c r="F2357" s="46" t="s">
        <v>86</v>
      </c>
      <c r="G2357" s="45">
        <v>21538275</v>
      </c>
      <c r="H2357" s="46" t="s">
        <v>85</v>
      </c>
      <c r="I2357" s="45">
        <v>21538275</v>
      </c>
      <c r="J2357" s="46">
        <v>21538275</v>
      </c>
      <c r="K2357" s="31"/>
      <c r="L2357" s="31"/>
    </row>
    <row r="2358" spans="1:12">
      <c r="A2358" s="4">
        <v>46187</v>
      </c>
      <c r="B2358" s="48"/>
      <c r="C2358" s="46" t="s">
        <v>84</v>
      </c>
      <c r="D2358" s="46" t="s">
        <v>84</v>
      </c>
      <c r="E2358" s="46" t="s">
        <v>84</v>
      </c>
      <c r="F2358" s="46" t="s">
        <v>86</v>
      </c>
      <c r="G2358" s="46">
        <v>249099343</v>
      </c>
      <c r="H2358" s="46" t="s">
        <v>85</v>
      </c>
      <c r="I2358" s="45">
        <v>249099343</v>
      </c>
      <c r="J2358" s="46">
        <v>249099343</v>
      </c>
      <c r="K2358" s="31"/>
      <c r="L2358" s="31"/>
    </row>
    <row r="2359" spans="1:12">
      <c r="A2359" s="4">
        <v>46188</v>
      </c>
      <c r="B2359" s="32"/>
      <c r="C2359" s="32"/>
      <c r="D2359" s="32">
        <v>8816578765</v>
      </c>
      <c r="E2359" s="32">
        <v>825</v>
      </c>
      <c r="F2359" s="32">
        <v>8816579590</v>
      </c>
      <c r="G2359" s="32">
        <v>368995024</v>
      </c>
      <c r="H2359" s="32" t="s">
        <v>54</v>
      </c>
      <c r="I2359" s="32">
        <v>368995024</v>
      </c>
      <c r="J2359" s="32">
        <v>9185574614</v>
      </c>
    </row>
    <row r="2360" spans="1:12">
      <c r="A2360" s="4">
        <v>46189</v>
      </c>
      <c r="B2360" s="32"/>
      <c r="C2360" s="32"/>
      <c r="D2360" s="32">
        <v>10464997789.030001</v>
      </c>
      <c r="E2360" s="32" t="s">
        <v>54</v>
      </c>
      <c r="F2360" s="32">
        <v>10464997789.030001</v>
      </c>
      <c r="G2360" s="32">
        <v>432805440</v>
      </c>
      <c r="H2360" s="32" t="s">
        <v>54</v>
      </c>
      <c r="I2360" s="32">
        <v>432805440</v>
      </c>
      <c r="J2360" s="32">
        <v>10897803229.030001</v>
      </c>
    </row>
    <row r="2361" spans="1:12">
      <c r="A2361" s="4">
        <v>46190</v>
      </c>
      <c r="B2361" s="32"/>
      <c r="C2361" s="32"/>
      <c r="D2361" s="32">
        <v>6976739814.3800001</v>
      </c>
      <c r="E2361" s="32" t="s">
        <v>54</v>
      </c>
      <c r="F2361" s="32">
        <v>6976739814.3800001</v>
      </c>
      <c r="G2361" s="32">
        <v>460053368</v>
      </c>
      <c r="H2361" s="32" t="s">
        <v>54</v>
      </c>
      <c r="I2361" s="32">
        <v>460053368</v>
      </c>
      <c r="J2361" s="32">
        <v>7436793182.3800001</v>
      </c>
    </row>
    <row r="2362" spans="1:12">
      <c r="A2362" s="4">
        <v>46191</v>
      </c>
      <c r="B2362" s="32"/>
      <c r="C2362" s="32"/>
      <c r="D2362" s="32">
        <v>12190151737.870001</v>
      </c>
      <c r="E2362" s="32"/>
      <c r="F2362" s="32">
        <v>12190151737.870001</v>
      </c>
      <c r="G2362" s="32">
        <v>410732057</v>
      </c>
      <c r="H2362" s="32" t="s">
        <v>54</v>
      </c>
      <c r="I2362" s="32">
        <v>410732057</v>
      </c>
      <c r="J2362" s="32">
        <v>12600883794.870001</v>
      </c>
    </row>
    <row r="2363" spans="1:12">
      <c r="A2363" s="4">
        <v>46192</v>
      </c>
      <c r="B2363" s="32"/>
      <c r="C2363" s="32"/>
      <c r="D2363" s="32">
        <v>6261469149</v>
      </c>
      <c r="E2363" s="32"/>
      <c r="F2363" s="32">
        <v>6261469149</v>
      </c>
      <c r="G2363" s="32">
        <v>300158806</v>
      </c>
      <c r="H2363" s="32">
        <v>100000000</v>
      </c>
      <c r="I2363" s="32">
        <v>400158806</v>
      </c>
      <c r="J2363" s="32">
        <v>6661627955</v>
      </c>
    </row>
    <row r="2364" spans="1:12">
      <c r="A2364" s="4">
        <v>46193</v>
      </c>
      <c r="B2364" s="32"/>
      <c r="C2364" s="32"/>
      <c r="D2364" s="32"/>
      <c r="E2364" s="32"/>
      <c r="F2364" s="32" t="s">
        <v>54</v>
      </c>
      <c r="G2364" s="32">
        <v>7669315</v>
      </c>
      <c r="H2364" s="32"/>
      <c r="I2364" s="32">
        <v>7669315</v>
      </c>
      <c r="J2364" s="32">
        <v>7669315</v>
      </c>
    </row>
    <row r="2365" spans="1:12">
      <c r="A2365" s="4">
        <v>46194</v>
      </c>
      <c r="B2365" s="32"/>
      <c r="C2365" s="32"/>
      <c r="D2365" s="32"/>
      <c r="E2365" s="32"/>
      <c r="F2365" s="32" t="s">
        <v>54</v>
      </c>
      <c r="G2365" s="32">
        <v>262997725</v>
      </c>
      <c r="H2365" s="32"/>
      <c r="I2365" s="32">
        <v>262997725</v>
      </c>
      <c r="J2365" s="32">
        <v>262997725</v>
      </c>
    </row>
    <row r="2366" spans="1:12">
      <c r="A2366" s="4">
        <v>46195</v>
      </c>
      <c r="B2366" s="32"/>
      <c r="C2366" s="32"/>
      <c r="D2366" s="32">
        <v>12971460493.700001</v>
      </c>
      <c r="E2366" s="32"/>
      <c r="F2366" s="32">
        <v>12971460493.700001</v>
      </c>
      <c r="G2366" s="32">
        <v>407895313</v>
      </c>
      <c r="H2366" s="32"/>
      <c r="I2366" s="32">
        <v>407895313</v>
      </c>
      <c r="J2366" s="32">
        <v>13379355806.700001</v>
      </c>
    </row>
    <row r="2367" spans="1:12">
      <c r="A2367" s="4">
        <v>46196</v>
      </c>
      <c r="B2367" s="32"/>
      <c r="C2367" s="32"/>
      <c r="D2367" s="32">
        <v>9481083467.7199993</v>
      </c>
      <c r="E2367" s="32"/>
      <c r="F2367" s="32">
        <v>9481083467.7199993</v>
      </c>
      <c r="G2367" s="32">
        <v>569409007</v>
      </c>
      <c r="H2367" s="32"/>
      <c r="I2367" s="32">
        <v>569409007</v>
      </c>
      <c r="J2367" s="32">
        <v>10050492474.719999</v>
      </c>
    </row>
    <row r="2368" spans="1:12">
      <c r="A2368" s="4">
        <v>46197</v>
      </c>
      <c r="B2368" s="32"/>
      <c r="C2368" s="32"/>
      <c r="D2368" s="32">
        <v>7086497344.9399996</v>
      </c>
      <c r="E2368" s="32"/>
      <c r="F2368" s="32">
        <v>7086497344.9399996</v>
      </c>
      <c r="G2368" s="32">
        <v>394529346</v>
      </c>
      <c r="H2368" s="32"/>
      <c r="I2368" s="32">
        <v>394529346</v>
      </c>
      <c r="J2368" s="32">
        <v>7481026690.9399996</v>
      </c>
    </row>
    <row r="2369" spans="1:10">
      <c r="A2369" s="4">
        <v>46198</v>
      </c>
      <c r="B2369" s="32"/>
      <c r="C2369" s="32"/>
      <c r="D2369" s="32">
        <v>6369481705</v>
      </c>
      <c r="E2369" s="32"/>
      <c r="F2369" s="32">
        <v>6369481705</v>
      </c>
      <c r="G2369" s="32">
        <v>493571401</v>
      </c>
      <c r="H2369" s="32"/>
      <c r="I2369" s="32">
        <v>493571401</v>
      </c>
      <c r="J2369" s="32">
        <v>6863053106</v>
      </c>
    </row>
    <row r="2370" spans="1:10">
      <c r="A2370" s="4">
        <v>46199</v>
      </c>
      <c r="B2370" s="32"/>
      <c r="C2370" s="32"/>
      <c r="D2370" s="32">
        <v>9011899845.0799999</v>
      </c>
      <c r="E2370" s="32">
        <v>120000</v>
      </c>
      <c r="F2370" s="32">
        <v>9012019845.0799999</v>
      </c>
      <c r="G2370" s="32">
        <v>296317618</v>
      </c>
      <c r="H2370" s="32">
        <v>100000000</v>
      </c>
      <c r="I2370" s="32">
        <v>396317618</v>
      </c>
      <c r="J2370" s="32">
        <v>9408337463.0799999</v>
      </c>
    </row>
    <row r="2371" spans="1:10">
      <c r="A2371" s="4">
        <v>46200</v>
      </c>
      <c r="B2371" s="32"/>
      <c r="C2371" s="32"/>
      <c r="D2371" s="32">
        <v>0</v>
      </c>
      <c r="E2371" s="32"/>
      <c r="F2371" s="32" t="s">
        <v>91</v>
      </c>
      <c r="G2371" s="32">
        <v>250008560</v>
      </c>
      <c r="H2371" s="32"/>
      <c r="I2371" s="32">
        <v>250008560</v>
      </c>
      <c r="J2371" s="32">
        <v>250008560</v>
      </c>
    </row>
    <row r="2372" spans="1:10">
      <c r="A2372" s="4">
        <v>46201</v>
      </c>
      <c r="B2372" s="32"/>
      <c r="C2372" s="32"/>
      <c r="D2372" s="32">
        <v>0</v>
      </c>
      <c r="E2372" s="32"/>
      <c r="F2372" s="32" t="s">
        <v>91</v>
      </c>
      <c r="G2372" s="32">
        <v>1152350</v>
      </c>
      <c r="H2372" s="32"/>
      <c r="I2372" s="32">
        <v>1152350</v>
      </c>
      <c r="J2372" s="32">
        <v>1152350</v>
      </c>
    </row>
    <row r="2373" spans="1:10">
      <c r="A2373" s="4">
        <v>46202</v>
      </c>
      <c r="B2373" s="32"/>
      <c r="C2373" s="32"/>
      <c r="D2373" s="32">
        <v>0</v>
      </c>
      <c r="E2373" s="32"/>
      <c r="F2373" s="32" t="s">
        <v>91</v>
      </c>
      <c r="G2373" s="32">
        <v>1152350</v>
      </c>
      <c r="H2373" s="32"/>
      <c r="I2373" s="32">
        <v>1152350</v>
      </c>
      <c r="J2373" s="32">
        <v>1152350</v>
      </c>
    </row>
    <row r="2374" spans="1:10">
      <c r="A2374" s="4">
        <v>46203</v>
      </c>
      <c r="B2374" s="32"/>
      <c r="C2374" s="32"/>
      <c r="D2374" s="32">
        <v>6978166937</v>
      </c>
      <c r="E2374" s="32">
        <v>0</v>
      </c>
      <c r="F2374" s="32">
        <v>6978166937</v>
      </c>
      <c r="G2374" s="32">
        <v>122812809</v>
      </c>
      <c r="H2374" s="32"/>
      <c r="I2374" s="32">
        <v>122812809</v>
      </c>
      <c r="J2374" s="32">
        <v>7100979746</v>
      </c>
    </row>
    <row r="2375" spans="1:10">
      <c r="A2375" s="4">
        <v>46204</v>
      </c>
      <c r="B2375" s="32"/>
      <c r="C2375" s="32"/>
      <c r="D2375" s="32">
        <v>18198879807.48</v>
      </c>
      <c r="E2375" s="32" t="s">
        <v>91</v>
      </c>
      <c r="F2375" s="32">
        <v>18198879807.48</v>
      </c>
      <c r="G2375" s="32">
        <v>480738215</v>
      </c>
      <c r="H2375" s="32" t="s">
        <v>91</v>
      </c>
      <c r="I2375" s="32">
        <v>480738215</v>
      </c>
      <c r="J2375" s="32">
        <v>18679618022.48</v>
      </c>
    </row>
    <row r="2376" spans="1:10">
      <c r="A2376" s="4">
        <v>46205</v>
      </c>
      <c r="B2376" s="32"/>
      <c r="C2376" s="32"/>
      <c r="D2376" s="32">
        <v>12001245444.6</v>
      </c>
      <c r="E2376" s="32" t="s">
        <v>91</v>
      </c>
      <c r="F2376" s="32">
        <v>12001245444.6</v>
      </c>
      <c r="G2376" s="32">
        <v>369074195</v>
      </c>
      <c r="H2376" s="32" t="s">
        <v>91</v>
      </c>
      <c r="I2376" s="32">
        <v>369074195</v>
      </c>
      <c r="J2376" s="32">
        <v>12370319639.6</v>
      </c>
    </row>
    <row r="2377" spans="1:10">
      <c r="A2377" s="4">
        <v>46206</v>
      </c>
      <c r="B2377" s="32"/>
      <c r="C2377" s="32"/>
      <c r="D2377" s="32">
        <v>9988824963.0300007</v>
      </c>
      <c r="E2377" s="32" t="s">
        <v>91</v>
      </c>
      <c r="F2377" s="32">
        <v>9988824963.0300007</v>
      </c>
      <c r="G2377" s="32">
        <v>371247407</v>
      </c>
      <c r="H2377" s="32">
        <v>100000000</v>
      </c>
      <c r="I2377" s="32">
        <v>471247407</v>
      </c>
      <c r="J2377" s="32">
        <v>10460072370.030001</v>
      </c>
    </row>
    <row r="2378" spans="1:10">
      <c r="A2378" s="4">
        <v>46207</v>
      </c>
      <c r="B2378" s="32"/>
      <c r="C2378" s="32"/>
      <c r="D2378" s="32"/>
      <c r="E2378" s="32"/>
      <c r="F2378" s="32" t="s">
        <v>91</v>
      </c>
      <c r="G2378" s="32">
        <v>206120621</v>
      </c>
      <c r="H2378" s="32" t="s">
        <v>91</v>
      </c>
      <c r="I2378" s="32">
        <v>206120621</v>
      </c>
      <c r="J2378" s="32">
        <v>206120621</v>
      </c>
    </row>
    <row r="2379" spans="1:10">
      <c r="A2379" s="4">
        <v>46208</v>
      </c>
      <c r="B2379" s="32"/>
      <c r="C2379" s="32"/>
      <c r="D2379" s="32"/>
      <c r="E2379" s="32"/>
      <c r="F2379" s="32" t="s">
        <v>91</v>
      </c>
      <c r="G2379" s="32">
        <v>2674763</v>
      </c>
      <c r="H2379" s="32" t="s">
        <v>91</v>
      </c>
      <c r="I2379" s="32">
        <v>2674763</v>
      </c>
      <c r="J2379" s="32">
        <v>2674763</v>
      </c>
    </row>
    <row r="2380" spans="1:10">
      <c r="A2380" s="4">
        <v>46209</v>
      </c>
      <c r="B2380" s="32"/>
      <c r="C2380" s="32"/>
      <c r="D2380" s="32">
        <v>9594415120.4400005</v>
      </c>
      <c r="E2380" s="32">
        <v>1223.0999999999999</v>
      </c>
      <c r="F2380" s="32">
        <v>9594416343.5400009</v>
      </c>
      <c r="G2380" s="32">
        <v>836496999</v>
      </c>
      <c r="H2380" s="32">
        <v>8848814500</v>
      </c>
      <c r="I2380" s="32">
        <v>9685311499</v>
      </c>
      <c r="J2380" s="32">
        <v>19279727842.540001</v>
      </c>
    </row>
    <row r="2381" spans="1:10">
      <c r="A2381" s="4">
        <v>46210</v>
      </c>
      <c r="B2381" s="32"/>
      <c r="C2381" s="32"/>
      <c r="D2381" s="32">
        <v>9706919449.3999996</v>
      </c>
      <c r="E2381" s="32">
        <v>43251</v>
      </c>
      <c r="F2381" s="32">
        <v>9706962700.3999996</v>
      </c>
      <c r="G2381" s="32">
        <v>491870484</v>
      </c>
      <c r="H2381" s="32" t="s">
        <v>91</v>
      </c>
      <c r="I2381" s="32">
        <v>491870484</v>
      </c>
      <c r="J2381" s="32">
        <v>10198833184.4</v>
      </c>
    </row>
    <row r="2382" spans="1:10">
      <c r="A2382" s="4">
        <v>46211</v>
      </c>
      <c r="B2382" s="32"/>
      <c r="C2382" s="32"/>
      <c r="D2382" s="43">
        <v>10349082750</v>
      </c>
      <c r="E2382" s="43" t="s">
        <v>85</v>
      </c>
      <c r="F2382" s="43">
        <v>10349082750</v>
      </c>
      <c r="G2382" s="43">
        <v>354369520</v>
      </c>
      <c r="H2382" s="43" t="s">
        <v>85</v>
      </c>
      <c r="I2382" s="43">
        <v>354369520</v>
      </c>
      <c r="J2382" s="43">
        <v>10703452270</v>
      </c>
    </row>
    <row r="2383" spans="1:10">
      <c r="A2383" s="4">
        <v>46212</v>
      </c>
      <c r="B2383" s="32"/>
      <c r="C2383" s="32"/>
      <c r="D2383" s="47">
        <v>18309626154</v>
      </c>
      <c r="E2383" s="47">
        <v>3931.68</v>
      </c>
      <c r="F2383" s="47">
        <v>18309630085.68</v>
      </c>
      <c r="G2383" s="47">
        <v>246126475</v>
      </c>
      <c r="H2383" s="47" t="s">
        <v>84</v>
      </c>
      <c r="I2383" s="47">
        <v>246126475</v>
      </c>
      <c r="J2383" s="43">
        <v>18555756560.68</v>
      </c>
    </row>
    <row r="2384" spans="1:10">
      <c r="A2384" s="4">
        <v>46213</v>
      </c>
      <c r="B2384" s="32"/>
      <c r="C2384" s="32"/>
      <c r="D2384" s="43">
        <v>6658911577.9799995</v>
      </c>
      <c r="E2384" s="43" t="s">
        <v>85</v>
      </c>
      <c r="F2384" s="47">
        <v>6658911577.9799995</v>
      </c>
      <c r="G2384" s="43">
        <v>179071341</v>
      </c>
      <c r="H2384" s="43">
        <v>100000000</v>
      </c>
      <c r="I2384" s="47">
        <v>279071341</v>
      </c>
      <c r="J2384" s="43">
        <v>6937982918.9799995</v>
      </c>
    </row>
    <row r="2385" spans="1:13">
      <c r="A2385" s="4">
        <v>46214</v>
      </c>
      <c r="B2385" s="52" t="s">
        <v>84</v>
      </c>
      <c r="C2385" s="52" t="s">
        <v>84</v>
      </c>
      <c r="D2385" s="46">
        <v>0</v>
      </c>
      <c r="E2385" s="46">
        <v>0</v>
      </c>
      <c r="F2385" s="51" t="s">
        <v>86</v>
      </c>
      <c r="G2385" s="31">
        <v>201060294</v>
      </c>
      <c r="H2385" s="46">
        <v>0</v>
      </c>
      <c r="I2385" s="53">
        <v>201060294</v>
      </c>
      <c r="J2385" s="31">
        <v>201060294</v>
      </c>
      <c r="K2385" s="31"/>
    </row>
    <row r="2386" spans="1:13">
      <c r="A2386" s="4">
        <v>46215</v>
      </c>
      <c r="B2386" s="52" t="s">
        <v>84</v>
      </c>
      <c r="C2386" s="52" t="s">
        <v>84</v>
      </c>
      <c r="D2386" s="46">
        <v>0</v>
      </c>
      <c r="E2386" s="46">
        <v>0</v>
      </c>
      <c r="F2386" s="52" t="s">
        <v>86</v>
      </c>
      <c r="G2386" s="51" t="s">
        <v>84</v>
      </c>
      <c r="H2386" s="45">
        <v>0</v>
      </c>
      <c r="I2386" s="51" t="s">
        <v>89</v>
      </c>
      <c r="J2386" s="52" t="s">
        <v>88</v>
      </c>
      <c r="K2386" s="31"/>
    </row>
    <row r="2387" spans="1:13">
      <c r="A2387" s="4">
        <v>46216</v>
      </c>
      <c r="B2387" s="49" t="s">
        <v>84</v>
      </c>
      <c r="C2387" s="27">
        <v>6000000000</v>
      </c>
      <c r="D2387" s="27">
        <v>2269266723</v>
      </c>
      <c r="E2387" s="27">
        <v>967297</v>
      </c>
      <c r="F2387" s="27">
        <v>8270234020</v>
      </c>
      <c r="G2387" s="50">
        <v>2104665189</v>
      </c>
      <c r="H2387" s="49" t="s">
        <v>85</v>
      </c>
      <c r="I2387" s="50">
        <v>2104665189</v>
      </c>
      <c r="J2387" s="27">
        <v>10374899209</v>
      </c>
      <c r="K2387" s="27"/>
    </row>
    <row r="2388" spans="1:13">
      <c r="A2388" s="4">
        <v>46217</v>
      </c>
      <c r="B2388" s="32"/>
      <c r="C2388" s="49" t="s">
        <v>84</v>
      </c>
      <c r="D2388" s="27">
        <v>6307157874.0100002</v>
      </c>
      <c r="E2388" s="49" t="s">
        <v>85</v>
      </c>
      <c r="F2388" s="27">
        <v>6307157874.0100002</v>
      </c>
      <c r="G2388" s="27">
        <v>1006697866.9400001</v>
      </c>
      <c r="H2388" s="49" t="s">
        <v>85</v>
      </c>
      <c r="I2388" s="50">
        <v>1006697866.9400001</v>
      </c>
      <c r="J2388" s="27">
        <v>7313855740.9499998</v>
      </c>
    </row>
    <row r="2389" spans="1:13">
      <c r="A2389" s="4">
        <v>46218</v>
      </c>
      <c r="B2389" s="32"/>
      <c r="C2389" s="27">
        <v>3139346658</v>
      </c>
      <c r="D2389" s="27">
        <v>6456759602.1599998</v>
      </c>
      <c r="E2389" s="27">
        <v>22834</v>
      </c>
      <c r="F2389" s="27">
        <v>9596129094.1599998</v>
      </c>
      <c r="G2389" s="27">
        <v>268332251</v>
      </c>
      <c r="H2389" s="49" t="s">
        <v>84</v>
      </c>
      <c r="I2389" s="27">
        <v>268332251</v>
      </c>
      <c r="J2389" s="27">
        <v>9864461345.1599998</v>
      </c>
    </row>
    <row r="2390" spans="1:13">
      <c r="A2390" s="4">
        <v>46219</v>
      </c>
      <c r="B2390" s="32"/>
      <c r="C2390" s="49" t="s">
        <v>84</v>
      </c>
      <c r="D2390" s="27">
        <v>13331566523.93</v>
      </c>
      <c r="E2390" s="27">
        <v>17477.29</v>
      </c>
      <c r="F2390" s="27">
        <v>13331584001.219999</v>
      </c>
      <c r="G2390" s="27">
        <v>429711601</v>
      </c>
      <c r="H2390" s="49" t="s">
        <v>84</v>
      </c>
      <c r="I2390" s="27">
        <v>429711601</v>
      </c>
      <c r="J2390" s="27">
        <v>13761295602.219999</v>
      </c>
    </row>
    <row r="2391" spans="1:13">
      <c r="A2391" s="4">
        <v>46220</v>
      </c>
      <c r="B2391" s="32"/>
      <c r="C2391" s="49" t="s">
        <v>84</v>
      </c>
      <c r="D2391" s="27">
        <v>14173189905.65</v>
      </c>
      <c r="E2391" s="27">
        <v>646650</v>
      </c>
      <c r="F2391" s="27">
        <v>14173836555.65</v>
      </c>
      <c r="G2391" s="27">
        <v>309883905</v>
      </c>
      <c r="H2391" s="27">
        <v>100000000</v>
      </c>
      <c r="I2391" s="27">
        <v>409883905</v>
      </c>
      <c r="J2391" s="27">
        <v>14583720460.65</v>
      </c>
    </row>
    <row r="2392" spans="1:13">
      <c r="A2392" s="4">
        <v>46221</v>
      </c>
      <c r="B2392" s="32"/>
      <c r="C2392" s="52" t="s">
        <v>84</v>
      </c>
      <c r="D2392" s="52" t="s">
        <v>90</v>
      </c>
      <c r="E2392" s="52" t="s">
        <v>85</v>
      </c>
      <c r="F2392" s="52" t="s">
        <v>86</v>
      </c>
      <c r="G2392" s="31">
        <v>201310771</v>
      </c>
      <c r="H2392" s="52" t="s">
        <v>85</v>
      </c>
      <c r="I2392" s="31">
        <v>201310771</v>
      </c>
      <c r="J2392" s="31">
        <v>201310771</v>
      </c>
    </row>
    <row r="2393" spans="1:13">
      <c r="A2393" s="4">
        <v>46222</v>
      </c>
      <c r="B2393" s="32"/>
      <c r="C2393" s="52" t="s">
        <v>84</v>
      </c>
      <c r="D2393" s="52" t="s">
        <v>90</v>
      </c>
      <c r="E2393" s="52" t="s">
        <v>85</v>
      </c>
      <c r="F2393" s="52" t="s">
        <v>86</v>
      </c>
      <c r="G2393" s="52" t="s">
        <v>84</v>
      </c>
      <c r="H2393" s="52" t="s">
        <v>84</v>
      </c>
      <c r="I2393" s="52" t="s">
        <v>89</v>
      </c>
      <c r="J2393" s="52" t="s">
        <v>88</v>
      </c>
    </row>
    <row r="2394" spans="1:13">
      <c r="A2394" s="4">
        <v>46223</v>
      </c>
      <c r="B2394" s="32"/>
      <c r="C2394" s="49" t="s">
        <v>84</v>
      </c>
      <c r="D2394" s="27">
        <v>16034689737.16</v>
      </c>
      <c r="E2394" s="49" t="s">
        <v>85</v>
      </c>
      <c r="F2394" s="27">
        <v>16034689737.16</v>
      </c>
      <c r="G2394" s="27">
        <v>881523302</v>
      </c>
      <c r="H2394" s="49" t="s">
        <v>85</v>
      </c>
      <c r="I2394" s="27">
        <v>881523302</v>
      </c>
      <c r="J2394" s="27">
        <v>16916213039.16</v>
      </c>
    </row>
    <row r="2395" spans="1:13">
      <c r="A2395" s="4">
        <v>46224</v>
      </c>
      <c r="B2395" s="32"/>
      <c r="C2395" s="49" t="s">
        <v>84</v>
      </c>
      <c r="D2395" s="27">
        <v>12193758066.91</v>
      </c>
      <c r="E2395" s="27">
        <v>311659.06</v>
      </c>
      <c r="F2395" s="27">
        <v>12194069725.969999</v>
      </c>
      <c r="G2395" s="27">
        <v>1072885847</v>
      </c>
      <c r="H2395" s="49" t="s">
        <v>85</v>
      </c>
      <c r="I2395" s="27">
        <v>1072885847</v>
      </c>
      <c r="J2395" s="27">
        <v>13266955572.969999</v>
      </c>
    </row>
    <row r="2396" spans="1:13" ht="15.75">
      <c r="A2396" s="4">
        <v>46225</v>
      </c>
      <c r="B2396" s="49"/>
      <c r="C2396" s="49" t="s">
        <v>84</v>
      </c>
      <c r="D2396" s="27">
        <v>14405773254.66</v>
      </c>
      <c r="E2396" s="27">
        <v>48765</v>
      </c>
      <c r="F2396" s="27">
        <v>14405822019.66</v>
      </c>
      <c r="G2396" s="27">
        <v>337540049</v>
      </c>
      <c r="H2396" s="49" t="s">
        <v>85</v>
      </c>
      <c r="I2396" s="27">
        <v>337540049</v>
      </c>
      <c r="J2396" s="27">
        <v>14743362068.66</v>
      </c>
      <c r="K2396" s="54"/>
    </row>
    <row r="2397" spans="1:13" ht="15.75">
      <c r="A2397" s="4">
        <v>46226</v>
      </c>
      <c r="B2397" s="49"/>
      <c r="C2397" s="49" t="s">
        <v>84</v>
      </c>
      <c r="D2397" s="27">
        <v>7956845007.04</v>
      </c>
      <c r="E2397" s="49" t="s">
        <v>85</v>
      </c>
      <c r="F2397" s="27">
        <v>7956845007.04</v>
      </c>
      <c r="G2397" s="27">
        <v>311868044</v>
      </c>
      <c r="H2397" s="49" t="s">
        <v>85</v>
      </c>
      <c r="I2397" s="27">
        <v>311868044</v>
      </c>
      <c r="J2397" s="27">
        <v>8268713051.04</v>
      </c>
      <c r="K2397" s="54"/>
    </row>
    <row r="2398" spans="1:13" ht="15.75">
      <c r="A2398" s="4">
        <v>46227</v>
      </c>
      <c r="B2398" s="49"/>
      <c r="C2398" s="49" t="s">
        <v>84</v>
      </c>
      <c r="D2398" s="27">
        <v>3668495142.5</v>
      </c>
      <c r="E2398" s="27">
        <v>33998</v>
      </c>
      <c r="F2398" s="27">
        <v>3668529140.5</v>
      </c>
      <c r="G2398" s="27">
        <v>170346587</v>
      </c>
      <c r="H2398" s="27">
        <v>100000000</v>
      </c>
      <c r="I2398" s="27">
        <v>270346587</v>
      </c>
      <c r="J2398" s="27">
        <v>3938875727.5</v>
      </c>
      <c r="K2398" s="54"/>
    </row>
    <row r="2399" spans="1:13" ht="15.75">
      <c r="A2399" s="4">
        <v>46228</v>
      </c>
      <c r="B2399" s="52"/>
      <c r="C2399" s="52" t="s">
        <v>84</v>
      </c>
      <c r="D2399" s="52" t="s">
        <v>84</v>
      </c>
      <c r="E2399" s="52" t="s">
        <v>84</v>
      </c>
      <c r="F2399" s="52" t="s">
        <v>86</v>
      </c>
      <c r="G2399" s="31">
        <v>198392440</v>
      </c>
      <c r="H2399" s="52" t="s">
        <v>84</v>
      </c>
      <c r="I2399" s="31">
        <v>198392440</v>
      </c>
      <c r="J2399" s="31">
        <v>198392440</v>
      </c>
      <c r="K2399" s="56"/>
      <c r="L2399" s="55"/>
      <c r="M2399" s="55"/>
    </row>
    <row r="2400" spans="1:13">
      <c r="A2400" s="4">
        <v>46229</v>
      </c>
      <c r="B2400" s="32"/>
      <c r="C2400" s="57" t="s">
        <v>84</v>
      </c>
      <c r="D2400" s="57" t="s">
        <v>84</v>
      </c>
      <c r="E2400" s="57" t="s">
        <v>84</v>
      </c>
      <c r="F2400" s="57" t="s">
        <v>86</v>
      </c>
      <c r="G2400" s="57" t="s">
        <v>84</v>
      </c>
      <c r="H2400" s="57" t="s">
        <v>84</v>
      </c>
      <c r="I2400" s="57" t="s">
        <v>89</v>
      </c>
      <c r="J2400" s="57" t="s">
        <v>88</v>
      </c>
      <c r="K2400" s="58"/>
    </row>
    <row r="2401" spans="1:11">
      <c r="A2401" s="4">
        <v>46230</v>
      </c>
      <c r="B2401" s="32"/>
      <c r="C2401" s="57" t="s">
        <v>84</v>
      </c>
      <c r="D2401" s="58">
        <v>6128824963.7700005</v>
      </c>
      <c r="E2401" s="58">
        <v>77743803.159999996</v>
      </c>
      <c r="F2401" s="58">
        <v>6206568766.9300003</v>
      </c>
      <c r="G2401" s="58">
        <v>364384805</v>
      </c>
      <c r="H2401" s="57" t="s">
        <v>85</v>
      </c>
      <c r="I2401" s="58">
        <v>364384805</v>
      </c>
      <c r="J2401" s="58">
        <v>6570953571.9300003</v>
      </c>
      <c r="K2401" s="58"/>
    </row>
    <row r="2402" spans="1:11">
      <c r="A2402" s="4">
        <v>46231</v>
      </c>
      <c r="B2402" s="32"/>
      <c r="C2402" s="57" t="s">
        <v>84</v>
      </c>
      <c r="D2402" s="59">
        <v>7660116441</v>
      </c>
      <c r="E2402" s="59">
        <v>493212810.56</v>
      </c>
      <c r="F2402" s="58">
        <v>8153329251.5600004</v>
      </c>
      <c r="G2402" s="58">
        <v>758258718</v>
      </c>
      <c r="H2402" s="60" t="s">
        <v>84</v>
      </c>
      <c r="I2402" s="59">
        <v>758258718</v>
      </c>
      <c r="J2402" s="58">
        <v>8911587969.5599995</v>
      </c>
      <c r="K2402" s="58"/>
    </row>
    <row r="2403" spans="1:11">
      <c r="A2403" s="4">
        <v>46232</v>
      </c>
      <c r="B2403" s="32"/>
      <c r="C2403" s="57" t="s">
        <v>84</v>
      </c>
      <c r="D2403" s="60" t="s">
        <v>84</v>
      </c>
      <c r="E2403" s="60" t="s">
        <v>84</v>
      </c>
      <c r="F2403" s="57" t="s">
        <v>86</v>
      </c>
      <c r="G2403" s="58">
        <v>7270</v>
      </c>
      <c r="H2403" s="60" t="s">
        <v>84</v>
      </c>
      <c r="I2403" s="59">
        <v>7270</v>
      </c>
      <c r="J2403" s="58">
        <v>7270</v>
      </c>
      <c r="K2403" s="58"/>
    </row>
    <row r="2404" spans="1:11">
      <c r="A2404" s="4">
        <v>46233</v>
      </c>
      <c r="B2404" s="32"/>
      <c r="C2404" s="32"/>
      <c r="D2404" s="50">
        <v>10511378240.99</v>
      </c>
      <c r="E2404" s="50">
        <v>675163.21</v>
      </c>
      <c r="F2404" s="49" t="s">
        <v>84</v>
      </c>
      <c r="G2404" s="27">
        <v>339854687</v>
      </c>
      <c r="H2404" s="61" t="s">
        <v>84</v>
      </c>
      <c r="I2404" s="61" t="s">
        <v>84</v>
      </c>
      <c r="J2404" s="27">
        <v>10851908091.200001</v>
      </c>
      <c r="K2404" s="27"/>
    </row>
    <row r="2405" spans="1:11">
      <c r="A2405" s="4">
        <v>46234</v>
      </c>
      <c r="B2405" s="32"/>
      <c r="C2405" s="32"/>
      <c r="D2405" s="50">
        <v>10527031746.629999</v>
      </c>
      <c r="E2405" s="50">
        <v>2146494412.6700001</v>
      </c>
      <c r="F2405" s="27">
        <v>12673526159.299999</v>
      </c>
      <c r="G2405" s="27">
        <v>458362829</v>
      </c>
      <c r="H2405" s="50">
        <v>100000000</v>
      </c>
      <c r="I2405" s="50">
        <v>558362829</v>
      </c>
      <c r="J2405" s="27">
        <v>13231888988.299999</v>
      </c>
      <c r="K2405" s="27"/>
    </row>
    <row r="2406" spans="1:11">
      <c r="A2406" s="4">
        <v>46235</v>
      </c>
      <c r="B2406" s="32"/>
      <c r="C2406" s="32"/>
      <c r="D2406" s="62" t="s">
        <v>84</v>
      </c>
      <c r="E2406" s="62" t="s">
        <v>84</v>
      </c>
      <c r="F2406" s="62" t="s">
        <v>86</v>
      </c>
      <c r="G2406" s="63">
        <v>8508142</v>
      </c>
      <c r="H2406" s="64" t="s">
        <v>84</v>
      </c>
      <c r="I2406" s="63">
        <v>8508142</v>
      </c>
      <c r="J2406" s="63">
        <v>8508142</v>
      </c>
    </row>
    <row r="2407" spans="1:11">
      <c r="A2407" s="4">
        <v>46236</v>
      </c>
      <c r="B2407" s="32"/>
      <c r="C2407" s="32"/>
      <c r="D2407" s="62" t="s">
        <v>84</v>
      </c>
      <c r="E2407" s="62" t="s">
        <v>84</v>
      </c>
      <c r="F2407" s="62" t="s">
        <v>86</v>
      </c>
      <c r="G2407" s="63">
        <v>9111133</v>
      </c>
      <c r="H2407" s="64" t="s">
        <v>84</v>
      </c>
      <c r="I2407" s="63">
        <v>9111133</v>
      </c>
      <c r="J2407" s="63">
        <v>9111133</v>
      </c>
    </row>
    <row r="2408" spans="1:11">
      <c r="A2408" s="4">
        <v>46237</v>
      </c>
      <c r="B2408" s="32"/>
      <c r="C2408" s="32"/>
      <c r="D2408" s="27">
        <v>16229626707.32</v>
      </c>
      <c r="E2408" s="27">
        <v>348796530.02999997</v>
      </c>
      <c r="F2408" s="27">
        <v>16578423237.35</v>
      </c>
      <c r="G2408" s="27">
        <v>1506471530</v>
      </c>
      <c r="H2408" s="61" t="s">
        <v>92</v>
      </c>
      <c r="I2408" s="27">
        <v>1506471530</v>
      </c>
      <c r="J2408" s="27">
        <v>18084894767.349998</v>
      </c>
    </row>
    <row r="2409" spans="1:11">
      <c r="A2409" s="4">
        <v>46238</v>
      </c>
      <c r="B2409" s="32"/>
      <c r="C2409" s="32"/>
      <c r="D2409" s="27">
        <v>8825273540.1599998</v>
      </c>
      <c r="E2409" s="49" t="s">
        <v>85</v>
      </c>
      <c r="F2409" s="27">
        <v>8825273540.1599998</v>
      </c>
      <c r="G2409" s="27">
        <v>454524904</v>
      </c>
      <c r="H2409" s="49" t="s">
        <v>85</v>
      </c>
      <c r="I2409" s="27">
        <v>454524904</v>
      </c>
      <c r="J2409" s="27">
        <v>9279798444.1599998</v>
      </c>
    </row>
    <row r="2410" spans="1:11">
      <c r="A2410" s="4">
        <v>46239</v>
      </c>
      <c r="B2410" s="32"/>
      <c r="C2410" s="32"/>
      <c r="D2410" s="27">
        <v>7737586636.0799999</v>
      </c>
      <c r="E2410" s="49" t="s">
        <v>84</v>
      </c>
      <c r="F2410" s="27">
        <v>7737586636.0799999</v>
      </c>
      <c r="G2410" s="27">
        <v>277564541</v>
      </c>
      <c r="H2410" s="49" t="s">
        <v>84</v>
      </c>
      <c r="I2410" s="27">
        <v>277564541</v>
      </c>
      <c r="J2410" s="27">
        <v>8015151177.0799999</v>
      </c>
    </row>
    <row r="2411" spans="1:11">
      <c r="A2411" s="4">
        <v>46240</v>
      </c>
      <c r="B2411" s="32"/>
      <c r="C2411" s="32"/>
      <c r="D2411" s="27">
        <v>7806991376.1899996</v>
      </c>
      <c r="E2411" s="27">
        <v>2262500</v>
      </c>
      <c r="F2411" s="27">
        <v>7809253876.1899996</v>
      </c>
      <c r="G2411" s="27">
        <v>501146738</v>
      </c>
      <c r="H2411" s="27">
        <v>9177361280</v>
      </c>
      <c r="I2411" s="27">
        <v>9678508018</v>
      </c>
      <c r="J2411" s="27">
        <v>17487761894.189999</v>
      </c>
    </row>
    <row r="2412" spans="1:11">
      <c r="A2412" s="4">
        <v>46241</v>
      </c>
      <c r="B2412" s="32"/>
      <c r="C2412" s="32"/>
      <c r="D2412" s="27">
        <v>6108810998.1499996</v>
      </c>
      <c r="E2412" s="49" t="s">
        <v>85</v>
      </c>
      <c r="F2412" s="27">
        <v>6108810998.1499996</v>
      </c>
      <c r="G2412" s="27">
        <v>437553914</v>
      </c>
      <c r="H2412" s="27">
        <v>100000000</v>
      </c>
      <c r="I2412" s="27">
        <v>537553914</v>
      </c>
      <c r="J2412" s="27">
        <v>6646364912.1499996</v>
      </c>
    </row>
    <row r="2413" spans="1:11">
      <c r="A2413" s="4">
        <v>46242</v>
      </c>
      <c r="B2413" s="32"/>
      <c r="C2413" s="62" t="s">
        <v>84</v>
      </c>
      <c r="D2413" s="62" t="s">
        <v>84</v>
      </c>
      <c r="E2413" s="62" t="s">
        <v>84</v>
      </c>
      <c r="F2413" s="62" t="s">
        <v>86</v>
      </c>
      <c r="G2413" s="63">
        <v>10290239</v>
      </c>
      <c r="H2413" s="62" t="s">
        <v>85</v>
      </c>
      <c r="I2413" s="63">
        <v>10290239</v>
      </c>
      <c r="J2413" s="63">
        <v>10290239</v>
      </c>
    </row>
    <row r="2414" spans="1:11">
      <c r="A2414" s="4">
        <v>46243</v>
      </c>
      <c r="B2414" s="32"/>
      <c r="C2414" s="62" t="s">
        <v>84</v>
      </c>
      <c r="D2414" s="64" t="s">
        <v>84</v>
      </c>
      <c r="E2414" s="64" t="s">
        <v>84</v>
      </c>
      <c r="F2414" s="64" t="s">
        <v>86</v>
      </c>
      <c r="G2414" s="65">
        <v>4033918</v>
      </c>
      <c r="H2414" s="64" t="s">
        <v>85</v>
      </c>
      <c r="I2414" s="65">
        <v>4033918</v>
      </c>
      <c r="J2414" s="63">
        <v>4033918</v>
      </c>
    </row>
    <row r="2415" spans="1:11">
      <c r="A2415" s="4">
        <v>46244</v>
      </c>
      <c r="B2415" s="32"/>
      <c r="C2415" s="49" t="s">
        <v>84</v>
      </c>
      <c r="D2415" s="27">
        <v>8438198158.1000004</v>
      </c>
      <c r="E2415" s="49" t="s">
        <v>85</v>
      </c>
      <c r="F2415" s="50">
        <v>8438198158.1000004</v>
      </c>
      <c r="G2415" s="27">
        <v>2263465198</v>
      </c>
      <c r="H2415" s="49" t="s">
        <v>85</v>
      </c>
      <c r="I2415" s="50">
        <v>2263465198</v>
      </c>
      <c r="J2415" s="27">
        <v>10701663356.1</v>
      </c>
    </row>
    <row r="2416" spans="1:11">
      <c r="A2416" s="4">
        <v>46245</v>
      </c>
      <c r="B2416" s="32"/>
      <c r="C2416" s="49" t="s">
        <v>84</v>
      </c>
      <c r="D2416" s="27">
        <v>8496558148.5</v>
      </c>
      <c r="E2416" s="27">
        <v>302672.81</v>
      </c>
      <c r="F2416" s="50">
        <v>8496860821.3100004</v>
      </c>
      <c r="G2416" s="27">
        <v>725955002</v>
      </c>
      <c r="H2416" s="49" t="s">
        <v>85</v>
      </c>
      <c r="I2416" s="50">
        <v>725955002</v>
      </c>
      <c r="J2416" s="27">
        <v>9222815823.3099995</v>
      </c>
    </row>
    <row r="2417" spans="1:10">
      <c r="A2417" s="4">
        <v>46246</v>
      </c>
      <c r="B2417" s="32"/>
      <c r="C2417" s="27">
        <v>3000000000</v>
      </c>
      <c r="D2417" s="27">
        <v>2650986511.6100001</v>
      </c>
      <c r="E2417" s="49" t="s">
        <v>85</v>
      </c>
      <c r="F2417" s="27">
        <v>5650986511.6099997</v>
      </c>
      <c r="G2417" s="50">
        <v>447849255</v>
      </c>
      <c r="H2417" s="61" t="s">
        <v>85</v>
      </c>
      <c r="I2417" s="50">
        <v>447849255</v>
      </c>
      <c r="J2417" s="27">
        <v>6098835766.6099997</v>
      </c>
    </row>
    <row r="2418" spans="1:10">
      <c r="A2418" s="4">
        <v>46247</v>
      </c>
      <c r="B2418" s="32"/>
      <c r="C2418" s="27">
        <v>3000000000</v>
      </c>
      <c r="D2418" s="27">
        <v>3170906926.2399998</v>
      </c>
      <c r="E2418" s="49" t="s">
        <v>85</v>
      </c>
      <c r="F2418" s="27">
        <v>6170906926.2399998</v>
      </c>
      <c r="G2418" s="50">
        <v>185490070</v>
      </c>
      <c r="H2418" s="49" t="s">
        <v>85</v>
      </c>
      <c r="I2418" s="50">
        <v>185490070</v>
      </c>
      <c r="J2418" s="27">
        <v>6356396996.2399998</v>
      </c>
    </row>
    <row r="2419" spans="1:10">
      <c r="A2419" s="4">
        <v>46248</v>
      </c>
      <c r="C2419" s="27">
        <v>3813168926.6100001</v>
      </c>
      <c r="D2419" s="27">
        <v>4223015959.8099999</v>
      </c>
      <c r="E2419" s="49" t="s">
        <v>85</v>
      </c>
      <c r="F2419" s="27">
        <v>8036184886.4200001</v>
      </c>
      <c r="G2419" s="27">
        <v>400841383</v>
      </c>
      <c r="H2419" s="27">
        <v>100000000</v>
      </c>
      <c r="I2419" s="50">
        <v>500841383</v>
      </c>
      <c r="J2419" s="27">
        <v>8537026269.4200001</v>
      </c>
    </row>
    <row r="2420" spans="1:10">
      <c r="A2420" s="4">
        <v>46249</v>
      </c>
      <c r="C2420" s="62" t="s">
        <v>84</v>
      </c>
      <c r="D2420" s="62" t="s">
        <v>84</v>
      </c>
      <c r="E2420" s="62" t="s">
        <v>84</v>
      </c>
      <c r="F2420" s="62" t="s">
        <v>86</v>
      </c>
      <c r="G2420" s="63">
        <v>210674081</v>
      </c>
      <c r="H2420" s="62" t="s">
        <v>85</v>
      </c>
      <c r="I2420" s="63">
        <v>210674081</v>
      </c>
      <c r="J2420" s="63">
        <v>210674081</v>
      </c>
    </row>
    <row r="2421" spans="1:10">
      <c r="A2421" s="4">
        <v>46250</v>
      </c>
      <c r="C2421" s="62" t="s">
        <v>84</v>
      </c>
      <c r="D2421" s="62" t="s">
        <v>84</v>
      </c>
      <c r="E2421" s="62" t="s">
        <v>84</v>
      </c>
      <c r="F2421" s="62" t="s">
        <v>86</v>
      </c>
      <c r="G2421" s="63">
        <v>2305700</v>
      </c>
      <c r="H2421" s="62" t="s">
        <v>84</v>
      </c>
      <c r="I2421" s="63">
        <v>2305700</v>
      </c>
      <c r="J2421" s="63">
        <v>2305700</v>
      </c>
    </row>
    <row r="2422" spans="1:10">
      <c r="A2422" s="4">
        <v>46251</v>
      </c>
      <c r="C2422" s="49" t="s">
        <v>84</v>
      </c>
      <c r="D2422" s="27">
        <v>7905283923.6300001</v>
      </c>
      <c r="E2422" s="49" t="s">
        <v>85</v>
      </c>
      <c r="F2422" s="27">
        <v>7905283923.6300001</v>
      </c>
      <c r="G2422" s="27">
        <v>452649593</v>
      </c>
      <c r="H2422" s="49" t="s">
        <v>85</v>
      </c>
      <c r="I2422" s="27">
        <v>452649593</v>
      </c>
      <c r="J2422" s="27">
        <v>8357933516.6300001</v>
      </c>
    </row>
    <row r="2423" spans="1:10">
      <c r="A2423" s="4">
        <v>46252</v>
      </c>
      <c r="C2423" s="49" t="s">
        <v>84</v>
      </c>
      <c r="D2423" s="27">
        <v>13268104473.76</v>
      </c>
      <c r="E2423" s="49" t="s">
        <v>85</v>
      </c>
      <c r="F2423" s="27">
        <v>13268104473.76</v>
      </c>
      <c r="G2423" s="27">
        <v>656887926</v>
      </c>
      <c r="H2423" s="49" t="s">
        <v>85</v>
      </c>
      <c r="I2423" s="27">
        <v>656887926</v>
      </c>
      <c r="J2423" s="27">
        <v>13924992399.76</v>
      </c>
    </row>
    <row r="2424" spans="1:10">
      <c r="A2424" s="4">
        <v>46253</v>
      </c>
      <c r="D2424" s="27">
        <v>22433769791.939999</v>
      </c>
      <c r="E2424" s="27">
        <v>38570</v>
      </c>
      <c r="F2424" s="27">
        <v>22433808361.939999</v>
      </c>
      <c r="G2424" s="27">
        <v>359297054</v>
      </c>
      <c r="H2424" s="49" t="s">
        <v>85</v>
      </c>
      <c r="I2424" s="27">
        <v>359297054</v>
      </c>
      <c r="J2424" s="27">
        <v>22793105415.939999</v>
      </c>
    </row>
    <row r="2425" spans="1:10">
      <c r="A2425" s="4">
        <v>46254</v>
      </c>
      <c r="D2425" s="27">
        <v>8242237499.6599998</v>
      </c>
      <c r="E2425" s="49" t="s">
        <v>85</v>
      </c>
      <c r="F2425" s="27">
        <v>8242237499.6599998</v>
      </c>
      <c r="G2425" s="27">
        <v>152389814</v>
      </c>
      <c r="H2425" s="49" t="s">
        <v>85</v>
      </c>
      <c r="I2425" s="27">
        <v>152389814</v>
      </c>
      <c r="J2425" s="27">
        <v>8394627313.6599998</v>
      </c>
    </row>
    <row r="2426" spans="1:10">
      <c r="A2426" s="4">
        <v>46255</v>
      </c>
      <c r="D2426" s="27">
        <v>6218137635.6800003</v>
      </c>
      <c r="E2426" s="49" t="s">
        <v>85</v>
      </c>
      <c r="F2426" s="27">
        <v>6218137635.6800003</v>
      </c>
      <c r="G2426" s="27">
        <v>452733855</v>
      </c>
      <c r="H2426" s="27">
        <v>100000000</v>
      </c>
      <c r="I2426" s="27">
        <v>552733855</v>
      </c>
      <c r="J2426" s="27">
        <v>6770871490.6800003</v>
      </c>
    </row>
    <row r="2427" spans="1:10">
      <c r="A2427" s="4">
        <v>46256</v>
      </c>
      <c r="D2427" s="62" t="s">
        <v>90</v>
      </c>
      <c r="E2427" s="62" t="s">
        <v>85</v>
      </c>
      <c r="F2427" s="62" t="s">
        <v>86</v>
      </c>
      <c r="G2427" s="62" t="s">
        <v>86</v>
      </c>
      <c r="H2427" s="62" t="s">
        <v>84</v>
      </c>
      <c r="I2427" s="62" t="s">
        <v>89</v>
      </c>
      <c r="J2427" s="62" t="s">
        <v>88</v>
      </c>
    </row>
    <row r="2428" spans="1:10">
      <c r="A2428" s="4">
        <v>46257</v>
      </c>
      <c r="D2428" s="62" t="s">
        <v>90</v>
      </c>
      <c r="E2428" s="62" t="s">
        <v>85</v>
      </c>
      <c r="F2428" s="62" t="s">
        <v>86</v>
      </c>
      <c r="G2428" s="63">
        <v>27408672</v>
      </c>
      <c r="H2428" s="62" t="s">
        <v>84</v>
      </c>
      <c r="I2428" s="63">
        <v>27408672</v>
      </c>
      <c r="J2428" s="63">
        <v>27408672</v>
      </c>
    </row>
    <row r="2429" spans="1:10">
      <c r="A2429" s="4">
        <v>46258</v>
      </c>
      <c r="D2429" s="27">
        <v>15481020350</v>
      </c>
      <c r="E2429" s="49" t="s">
        <v>85</v>
      </c>
      <c r="F2429" s="27">
        <v>15481020350</v>
      </c>
      <c r="G2429" s="27">
        <v>358998308</v>
      </c>
      <c r="H2429" s="49" t="s">
        <v>85</v>
      </c>
      <c r="I2429" s="27">
        <v>358998308</v>
      </c>
      <c r="J2429" s="27">
        <v>15840018658</v>
      </c>
    </row>
    <row r="2430" spans="1:10">
      <c r="A2430" s="4">
        <v>46259</v>
      </c>
      <c r="D2430" s="27">
        <v>21780644139.32</v>
      </c>
      <c r="E2430" s="49" t="s">
        <v>85</v>
      </c>
      <c r="F2430" s="27">
        <v>21780644139.32</v>
      </c>
      <c r="G2430" s="27">
        <v>710597891</v>
      </c>
      <c r="H2430" s="49" t="s">
        <v>85</v>
      </c>
      <c r="I2430" s="27">
        <v>710597891</v>
      </c>
      <c r="J2430" s="27">
        <v>22491242030.32</v>
      </c>
    </row>
    <row r="2431" spans="1:10">
      <c r="A2431" s="4">
        <v>46260</v>
      </c>
      <c r="D2431" s="62" t="s">
        <v>84</v>
      </c>
      <c r="E2431" s="62" t="s">
        <v>84</v>
      </c>
      <c r="F2431" s="62" t="s">
        <v>86</v>
      </c>
      <c r="G2431" s="63">
        <v>154415770</v>
      </c>
      <c r="H2431" s="62" t="s">
        <v>85</v>
      </c>
      <c r="I2431" s="63">
        <v>154415770</v>
      </c>
      <c r="J2431" s="63">
        <v>154415770</v>
      </c>
    </row>
    <row r="2432" spans="1:10">
      <c r="A2432" s="4">
        <v>46261</v>
      </c>
      <c r="D2432" s="62" t="s">
        <v>84</v>
      </c>
      <c r="E2432" s="62" t="s">
        <v>84</v>
      </c>
      <c r="F2432" s="62" t="s">
        <v>84</v>
      </c>
      <c r="G2432" s="63">
        <v>199337965</v>
      </c>
      <c r="H2432" s="62" t="s">
        <v>84</v>
      </c>
      <c r="I2432" s="63">
        <v>199337965</v>
      </c>
      <c r="J2432" s="63">
        <v>199337965</v>
      </c>
    </row>
    <row r="2433" spans="1:10">
      <c r="A2433" s="4">
        <v>46262</v>
      </c>
      <c r="D2433" s="50">
        <v>10068961766</v>
      </c>
      <c r="E2433" s="61" t="s">
        <v>85</v>
      </c>
      <c r="F2433" s="27">
        <v>10068961766</v>
      </c>
      <c r="G2433" s="27">
        <v>270215546</v>
      </c>
      <c r="H2433" s="50">
        <v>100000000</v>
      </c>
      <c r="I2433" s="50">
        <v>370215546</v>
      </c>
      <c r="J2433" s="27">
        <v>10439177312</v>
      </c>
    </row>
    <row r="2434" spans="1:10">
      <c r="A2434" s="4">
        <v>46263</v>
      </c>
      <c r="D2434" s="64" t="s">
        <v>90</v>
      </c>
      <c r="E2434" s="64" t="s">
        <v>85</v>
      </c>
      <c r="F2434" s="62" t="s">
        <v>84</v>
      </c>
      <c r="G2434" s="63">
        <v>6608050</v>
      </c>
      <c r="H2434" s="64" t="s">
        <v>85</v>
      </c>
      <c r="I2434" s="65">
        <v>6608050</v>
      </c>
      <c r="J2434" s="68">
        <v>6608050</v>
      </c>
    </row>
    <row r="2435" spans="1:10">
      <c r="A2435" s="4">
        <v>46264</v>
      </c>
      <c r="D2435" s="64" t="s">
        <v>84</v>
      </c>
      <c r="E2435" s="64" t="s">
        <v>84</v>
      </c>
      <c r="F2435" s="62" t="s">
        <v>84</v>
      </c>
      <c r="G2435" s="63">
        <v>54000</v>
      </c>
      <c r="H2435" s="64" t="s">
        <v>85</v>
      </c>
      <c r="I2435" s="65">
        <v>54000</v>
      </c>
      <c r="J2435" s="68">
        <v>54000</v>
      </c>
    </row>
    <row r="2436" spans="1:10">
      <c r="A2436" s="4">
        <v>46265</v>
      </c>
      <c r="D2436" s="50">
        <v>7011176562.2600002</v>
      </c>
      <c r="E2436" s="50">
        <v>2144952465.3699999</v>
      </c>
      <c r="F2436" s="50">
        <v>9156129027.6299992</v>
      </c>
      <c r="G2436" s="50">
        <v>229274672</v>
      </c>
      <c r="H2436" s="61" t="s">
        <v>85</v>
      </c>
      <c r="I2436" s="50">
        <v>229274672</v>
      </c>
      <c r="J2436" s="50">
        <v>9385403699.6299992</v>
      </c>
    </row>
    <row r="2437" spans="1:10">
      <c r="A2437" s="4">
        <v>46266</v>
      </c>
      <c r="D2437" s="27">
        <v>7173711759.0900002</v>
      </c>
      <c r="E2437" s="49" t="s">
        <v>85</v>
      </c>
      <c r="F2437" s="27">
        <v>7173711759.0900002</v>
      </c>
      <c r="G2437" s="27">
        <v>448484421</v>
      </c>
      <c r="H2437" s="61" t="s">
        <v>92</v>
      </c>
      <c r="I2437" s="27">
        <v>448484421</v>
      </c>
      <c r="J2437" s="27">
        <v>7622196180.0900002</v>
      </c>
    </row>
    <row r="2438" spans="1:10">
      <c r="A2438" s="4">
        <v>46267</v>
      </c>
      <c r="D2438" s="27">
        <v>8304731603.7399998</v>
      </c>
      <c r="E2438" s="49" t="s">
        <v>85</v>
      </c>
      <c r="F2438" s="27">
        <v>8304731603.7399998</v>
      </c>
      <c r="G2438" s="27">
        <v>254162929</v>
      </c>
      <c r="H2438" s="61" t="s">
        <v>92</v>
      </c>
      <c r="I2438" s="27">
        <v>254162929</v>
      </c>
      <c r="J2438" s="27">
        <v>8558894532.7399998</v>
      </c>
    </row>
    <row r="2439" spans="1:10">
      <c r="A2439" s="4">
        <v>46268</v>
      </c>
      <c r="D2439" s="27">
        <v>11745376257</v>
      </c>
      <c r="E2439" s="49" t="s">
        <v>85</v>
      </c>
      <c r="F2439" s="27">
        <v>11745376257</v>
      </c>
      <c r="G2439" s="27">
        <v>414056543</v>
      </c>
      <c r="H2439" s="61" t="s">
        <v>92</v>
      </c>
      <c r="I2439" s="27">
        <v>414056543</v>
      </c>
      <c r="J2439" s="27">
        <v>12159432800</v>
      </c>
    </row>
    <row r="2440" spans="1:10">
      <c r="A2440" s="4">
        <v>46269</v>
      </c>
      <c r="D2440" s="27">
        <v>6741250253.7200003</v>
      </c>
      <c r="E2440" s="49" t="s">
        <v>85</v>
      </c>
      <c r="F2440" s="27">
        <v>6741250253.7200003</v>
      </c>
      <c r="G2440" s="27">
        <v>146990714</v>
      </c>
      <c r="H2440" s="27">
        <v>9264127810</v>
      </c>
      <c r="I2440" s="27">
        <v>9411118524</v>
      </c>
      <c r="J2440" s="27">
        <v>16152368777.719999</v>
      </c>
    </row>
    <row r="2441" spans="1:10">
      <c r="A2441" s="4">
        <v>46270</v>
      </c>
      <c r="D2441" s="49" t="s">
        <v>90</v>
      </c>
      <c r="E2441" s="49" t="s">
        <v>85</v>
      </c>
      <c r="F2441" s="49" t="s">
        <v>86</v>
      </c>
      <c r="G2441" s="27">
        <v>17320276</v>
      </c>
      <c r="H2441" s="49" t="s">
        <v>85</v>
      </c>
      <c r="I2441" s="27">
        <v>17320276</v>
      </c>
      <c r="J2441" s="27">
        <v>17320276</v>
      </c>
    </row>
    <row r="2442" spans="1:10">
      <c r="A2442" s="4">
        <v>46271</v>
      </c>
      <c r="D2442" s="49" t="s">
        <v>90</v>
      </c>
      <c r="E2442" s="49" t="s">
        <v>85</v>
      </c>
      <c r="F2442" s="49" t="s">
        <v>86</v>
      </c>
      <c r="G2442" s="27">
        <v>2205150</v>
      </c>
      <c r="H2442" s="49" t="s">
        <v>85</v>
      </c>
      <c r="I2442" s="27">
        <v>2205150</v>
      </c>
      <c r="J2442" s="27">
        <v>2205150</v>
      </c>
    </row>
    <row r="2443" spans="1:10">
      <c r="A2443" s="4">
        <v>46272</v>
      </c>
      <c r="D2443" s="27">
        <v>9757055602.1399994</v>
      </c>
      <c r="E2443" s="49" t="s">
        <v>85</v>
      </c>
      <c r="F2443" s="27">
        <v>9757055602.1399994</v>
      </c>
      <c r="G2443" s="27">
        <v>2562561730</v>
      </c>
      <c r="H2443" s="49" t="s">
        <v>85</v>
      </c>
      <c r="I2443" s="27">
        <v>2562561730</v>
      </c>
      <c r="J2443" s="27">
        <v>12319617332.139999</v>
      </c>
    </row>
    <row r="2444" spans="1:10">
      <c r="A2444" s="4">
        <v>46273</v>
      </c>
      <c r="D2444" s="27">
        <v>22376615944.740002</v>
      </c>
      <c r="E2444" s="49" t="s">
        <v>84</v>
      </c>
      <c r="F2444" s="27">
        <v>22376615944.740002</v>
      </c>
      <c r="G2444" s="27">
        <v>541330280</v>
      </c>
      <c r="H2444" s="49" t="s">
        <v>84</v>
      </c>
      <c r="I2444" s="27">
        <v>541330280</v>
      </c>
      <c r="J2444" s="27">
        <v>22917946224.740002</v>
      </c>
    </row>
    <row r="2445" spans="1:10">
      <c r="A2445" s="4">
        <v>46274</v>
      </c>
      <c r="C2445" s="49" t="s">
        <v>84</v>
      </c>
      <c r="D2445" s="50">
        <v>19104523916.869999</v>
      </c>
      <c r="E2445" s="61" t="s">
        <v>85</v>
      </c>
      <c r="F2445" s="50">
        <v>19104523916.869999</v>
      </c>
      <c r="G2445" s="50">
        <v>554930796</v>
      </c>
      <c r="H2445" s="61" t="s">
        <v>85</v>
      </c>
      <c r="I2445" s="50">
        <v>554930796</v>
      </c>
      <c r="J2445" s="27">
        <v>19659454712.869999</v>
      </c>
    </row>
    <row r="2446" spans="1:10">
      <c r="A2446" s="4">
        <v>46275</v>
      </c>
      <c r="C2446" s="49" t="s">
        <v>84</v>
      </c>
      <c r="D2446" s="27">
        <v>14519411254.5</v>
      </c>
      <c r="E2446" s="49" t="s">
        <v>85</v>
      </c>
      <c r="F2446" s="50">
        <v>14519411254.5</v>
      </c>
      <c r="G2446" s="27">
        <v>472140124</v>
      </c>
      <c r="H2446" s="49" t="s">
        <v>85</v>
      </c>
      <c r="I2446" s="50">
        <v>472140124</v>
      </c>
      <c r="J2446" s="27">
        <v>14991551378.5</v>
      </c>
    </row>
    <row r="2447" spans="1:10">
      <c r="A2447" s="4">
        <v>46276</v>
      </c>
      <c r="C2447" s="27">
        <v>3000000000</v>
      </c>
      <c r="D2447" s="27">
        <v>6769679876.6599998</v>
      </c>
      <c r="E2447" s="49" t="s">
        <v>85</v>
      </c>
      <c r="F2447" s="50">
        <v>9769679876.6599998</v>
      </c>
      <c r="G2447" s="27">
        <v>215256047</v>
      </c>
      <c r="H2447" s="27">
        <v>100000000</v>
      </c>
      <c r="I2447" s="50">
        <v>315256047</v>
      </c>
      <c r="J2447" s="27">
        <v>10084935923.66</v>
      </c>
    </row>
    <row r="2448" spans="1:10">
      <c r="A2448" s="4">
        <v>46277</v>
      </c>
      <c r="C2448" s="49" t="s">
        <v>84</v>
      </c>
      <c r="D2448" s="49" t="s">
        <v>90</v>
      </c>
      <c r="E2448" s="49" t="s">
        <v>85</v>
      </c>
      <c r="F2448" s="49" t="s">
        <v>86</v>
      </c>
      <c r="G2448" s="50">
        <v>4644562</v>
      </c>
      <c r="H2448" s="61" t="s">
        <v>85</v>
      </c>
      <c r="I2448" s="50">
        <v>4644562</v>
      </c>
      <c r="J2448" s="27">
        <v>4644562</v>
      </c>
    </row>
    <row r="2449" spans="1:10">
      <c r="A2449" s="4">
        <v>46278</v>
      </c>
      <c r="C2449" s="49" t="s">
        <v>84</v>
      </c>
      <c r="D2449" s="49" t="s">
        <v>90</v>
      </c>
      <c r="E2449" s="49" t="s">
        <v>85</v>
      </c>
      <c r="F2449" s="49" t="s">
        <v>86</v>
      </c>
      <c r="G2449" s="50">
        <v>4422450</v>
      </c>
      <c r="H2449" s="49" t="s">
        <v>85</v>
      </c>
      <c r="I2449" s="50">
        <v>4422450</v>
      </c>
      <c r="J2449" s="27">
        <v>4422450</v>
      </c>
    </row>
    <row r="2450" spans="1:10">
      <c r="A2450" s="4">
        <v>46279</v>
      </c>
      <c r="C2450" s="27">
        <v>3000000000</v>
      </c>
      <c r="D2450" s="27">
        <v>4685906177.4700003</v>
      </c>
      <c r="E2450" s="49" t="s">
        <v>85</v>
      </c>
      <c r="F2450" s="27">
        <v>7685906177.4700003</v>
      </c>
      <c r="G2450" s="27">
        <v>351105159</v>
      </c>
      <c r="H2450" s="49" t="s">
        <v>85</v>
      </c>
      <c r="I2450" s="50">
        <v>351105159</v>
      </c>
      <c r="J2450" s="27">
        <v>8037011336.4700003</v>
      </c>
    </row>
    <row r="2451" spans="1:10">
      <c r="A2451" s="4">
        <v>46280</v>
      </c>
      <c r="C2451" s="70">
        <v>3092962900.1799998</v>
      </c>
      <c r="D2451" s="70">
        <v>12356618810.98</v>
      </c>
      <c r="E2451" s="71" t="s">
        <v>85</v>
      </c>
      <c r="F2451" s="70">
        <v>15449581711.16</v>
      </c>
      <c r="G2451" s="70">
        <v>717480197</v>
      </c>
      <c r="H2451" s="71" t="s">
        <v>85</v>
      </c>
      <c r="I2451" s="70">
        <v>717480197</v>
      </c>
      <c r="J2451" s="70">
        <v>16167061908.16</v>
      </c>
    </row>
    <row r="2452" spans="1:10">
      <c r="A2452" s="4">
        <v>46281</v>
      </c>
      <c r="C2452" s="71" t="s">
        <v>84</v>
      </c>
      <c r="D2452" s="70">
        <v>11849940122</v>
      </c>
      <c r="E2452" s="70">
        <v>1100</v>
      </c>
      <c r="F2452" s="70">
        <v>11849941222</v>
      </c>
      <c r="G2452" s="70">
        <v>460040952</v>
      </c>
      <c r="H2452" s="71" t="s">
        <v>85</v>
      </c>
      <c r="I2452" s="70">
        <v>460040952</v>
      </c>
      <c r="J2452" s="70">
        <v>12309982174</v>
      </c>
    </row>
    <row r="2453" spans="1:10">
      <c r="A2453" s="4">
        <v>46282</v>
      </c>
      <c r="C2453" s="71" t="s">
        <v>84</v>
      </c>
      <c r="D2453" s="70">
        <v>6491938014.6300001</v>
      </c>
      <c r="E2453" s="70">
        <v>1100</v>
      </c>
      <c r="F2453" s="70">
        <v>6491939114.6300001</v>
      </c>
      <c r="G2453" s="70">
        <v>3942033492</v>
      </c>
      <c r="H2453" s="71" t="s">
        <v>85</v>
      </c>
      <c r="I2453" s="70">
        <v>3942033492</v>
      </c>
      <c r="J2453" s="70">
        <v>10433972606.629999</v>
      </c>
    </row>
    <row r="2454" spans="1:10">
      <c r="A2454" s="4">
        <v>46283</v>
      </c>
      <c r="C2454" s="71" t="s">
        <v>84</v>
      </c>
      <c r="D2454" s="70">
        <v>6633574066.2799997</v>
      </c>
      <c r="E2454" s="71" t="s">
        <v>85</v>
      </c>
      <c r="F2454" s="70">
        <v>6633574066.2799997</v>
      </c>
      <c r="G2454" s="70">
        <v>419163754</v>
      </c>
      <c r="H2454" s="70">
        <v>100000000</v>
      </c>
      <c r="I2454" s="70">
        <v>519163754</v>
      </c>
      <c r="J2454" s="70">
        <v>7152737820.2799997</v>
      </c>
    </row>
    <row r="2455" spans="1:10">
      <c r="A2455" s="4">
        <v>46284</v>
      </c>
      <c r="C2455" s="72" t="s">
        <v>84</v>
      </c>
      <c r="D2455" s="73" t="s">
        <v>90</v>
      </c>
      <c r="E2455" s="73" t="s">
        <v>85</v>
      </c>
      <c r="F2455" s="73" t="s">
        <v>86</v>
      </c>
      <c r="G2455" s="74">
        <v>4780850</v>
      </c>
      <c r="H2455" s="73" t="s">
        <v>85</v>
      </c>
      <c r="I2455" s="74">
        <v>4780850</v>
      </c>
      <c r="J2455" s="74">
        <v>4780850</v>
      </c>
    </row>
    <row r="2456" spans="1:10">
      <c r="A2456" s="4">
        <v>46285</v>
      </c>
      <c r="C2456" s="75"/>
      <c r="D2456" s="73" t="s">
        <v>84</v>
      </c>
      <c r="E2456" s="73" t="s">
        <v>84</v>
      </c>
      <c r="F2456" s="73" t="s">
        <v>84</v>
      </c>
      <c r="G2456" s="73" t="s">
        <v>84</v>
      </c>
      <c r="H2456" s="73" t="s">
        <v>84</v>
      </c>
      <c r="I2456" s="73" t="s">
        <v>84</v>
      </c>
      <c r="J2456" s="73" t="s">
        <v>88</v>
      </c>
    </row>
    <row r="2457" spans="1:10">
      <c r="A2457" s="4">
        <v>46286</v>
      </c>
      <c r="D2457" s="27">
        <v>10257340756.059999</v>
      </c>
      <c r="E2457" s="49" t="s">
        <v>85</v>
      </c>
      <c r="F2457" s="27">
        <v>10257340756.059999</v>
      </c>
      <c r="G2457" s="27">
        <v>511924532</v>
      </c>
      <c r="H2457" s="49" t="s">
        <v>85</v>
      </c>
      <c r="I2457" s="27">
        <v>511924532</v>
      </c>
      <c r="J2457" s="27">
        <v>10769265288.059999</v>
      </c>
    </row>
    <row r="2458" spans="1:10">
      <c r="A2458" s="4">
        <v>46287</v>
      </c>
      <c r="D2458" s="27">
        <v>9343608405.9200001</v>
      </c>
      <c r="E2458" s="49" t="s">
        <v>84</v>
      </c>
      <c r="F2458" s="27">
        <v>9343608405.9200001</v>
      </c>
      <c r="G2458" s="27">
        <v>632892672</v>
      </c>
      <c r="H2458" s="49" t="s">
        <v>84</v>
      </c>
      <c r="I2458" s="27">
        <v>632892672</v>
      </c>
      <c r="J2458" s="27">
        <v>9976501077.9200001</v>
      </c>
    </row>
    <row r="2459" spans="1:10">
      <c r="A2459" s="4">
        <v>46288</v>
      </c>
      <c r="D2459" s="27">
        <v>6606266154.5299997</v>
      </c>
      <c r="E2459" s="49" t="s">
        <v>84</v>
      </c>
      <c r="F2459" s="27">
        <v>6606266154.5299997</v>
      </c>
      <c r="G2459" s="27">
        <v>120663811</v>
      </c>
      <c r="H2459" s="49" t="s">
        <v>84</v>
      </c>
      <c r="I2459" s="27">
        <v>120663811</v>
      </c>
      <c r="J2459" s="27">
        <v>6726929965.5299997</v>
      </c>
    </row>
    <row r="2460" spans="1:10">
      <c r="A2460" s="4">
        <v>46289</v>
      </c>
      <c r="D2460" s="27">
        <v>9251580401.2700005</v>
      </c>
      <c r="E2460" s="49" t="s">
        <v>84</v>
      </c>
      <c r="F2460" s="27">
        <v>9251580401.2700005</v>
      </c>
      <c r="G2460" s="27">
        <v>264832739</v>
      </c>
      <c r="H2460" s="49" t="s">
        <v>84</v>
      </c>
      <c r="I2460" s="27">
        <v>264832739</v>
      </c>
      <c r="J2460" s="27">
        <v>9516413140.2700005</v>
      </c>
    </row>
    <row r="2461" spans="1:10" ht="15.75">
      <c r="A2461" s="4">
        <v>46290</v>
      </c>
      <c r="D2461" s="27">
        <v>9467211356.0799999</v>
      </c>
      <c r="E2461" s="27">
        <v>19025</v>
      </c>
      <c r="F2461" s="27">
        <v>9467230381.0799999</v>
      </c>
      <c r="G2461" s="27">
        <v>114239988</v>
      </c>
      <c r="H2461" s="54">
        <v>100000000</v>
      </c>
      <c r="I2461" s="27">
        <f>SUM(G2461:H2461)</f>
        <v>214239988</v>
      </c>
      <c r="J2461" s="27">
        <f>F2461+I2461</f>
        <v>9681470369.0799999</v>
      </c>
    </row>
    <row r="2462" spans="1:10">
      <c r="A2462" s="4">
        <v>46291</v>
      </c>
      <c r="C2462" s="75"/>
      <c r="D2462" s="73" t="s">
        <v>84</v>
      </c>
      <c r="E2462" s="73" t="s">
        <v>84</v>
      </c>
      <c r="F2462" s="73" t="s">
        <v>84</v>
      </c>
      <c r="G2462" s="74">
        <v>13433399</v>
      </c>
      <c r="H2462" s="73" t="s">
        <v>84</v>
      </c>
      <c r="I2462" s="74">
        <v>13433399</v>
      </c>
      <c r="J2462" s="74">
        <v>13433399</v>
      </c>
    </row>
    <row r="2463" spans="1:10">
      <c r="A2463" s="4">
        <v>46292</v>
      </c>
      <c r="C2463" s="75"/>
      <c r="D2463" s="73" t="s">
        <v>84</v>
      </c>
      <c r="E2463" s="73" t="s">
        <v>84</v>
      </c>
      <c r="F2463" s="73" t="s">
        <v>84</v>
      </c>
      <c r="G2463" s="73" t="s">
        <v>84</v>
      </c>
      <c r="H2463" s="73" t="s">
        <v>84</v>
      </c>
      <c r="I2463" s="73" t="s">
        <v>84</v>
      </c>
      <c r="J2463" s="73" t="s">
        <v>88</v>
      </c>
    </row>
    <row r="2464" spans="1:10">
      <c r="A2464" s="4">
        <v>46293</v>
      </c>
      <c r="D2464" s="50">
        <v>8585082965.3999996</v>
      </c>
      <c r="E2464" s="61" t="s">
        <v>85</v>
      </c>
      <c r="F2464" s="27">
        <v>8585082965.3999996</v>
      </c>
      <c r="G2464" s="27">
        <v>406582489</v>
      </c>
      <c r="H2464" s="61" t="s">
        <v>85</v>
      </c>
      <c r="I2464" s="50">
        <v>406582489</v>
      </c>
      <c r="J2464" s="27">
        <v>8991665454.3999996</v>
      </c>
    </row>
    <row r="2465" spans="1:10">
      <c r="A2465" s="4">
        <v>46294</v>
      </c>
      <c r="D2465" s="50">
        <v>11220694148.25</v>
      </c>
      <c r="E2465" s="61" t="s">
        <v>85</v>
      </c>
      <c r="F2465" s="27">
        <v>11220694148.25</v>
      </c>
      <c r="G2465" s="27">
        <v>530690094</v>
      </c>
      <c r="H2465" s="61" t="s">
        <v>85</v>
      </c>
      <c r="I2465" s="50">
        <v>530690094</v>
      </c>
      <c r="J2465" s="27">
        <v>11751384242.25</v>
      </c>
    </row>
    <row r="2466" spans="1:10">
      <c r="A2466" s="4">
        <v>46295</v>
      </c>
      <c r="D2466" s="50">
        <v>10666146121</v>
      </c>
      <c r="E2466" s="50">
        <v>1282238291.1900001</v>
      </c>
      <c r="F2466" s="27">
        <v>11948384412.190001</v>
      </c>
      <c r="G2466" s="27">
        <v>459689745</v>
      </c>
      <c r="H2466" s="61" t="s">
        <v>85</v>
      </c>
      <c r="I2466" s="50">
        <v>459689745</v>
      </c>
      <c r="J2466" s="27">
        <v>12408074157.190001</v>
      </c>
    </row>
    <row r="2467" spans="1:10">
      <c r="A2467" s="4">
        <v>46296</v>
      </c>
      <c r="D2467" s="27">
        <v>5228509014.0799999</v>
      </c>
      <c r="E2467" s="49" t="s">
        <v>85</v>
      </c>
      <c r="F2467" s="27">
        <v>5228509014.0799999</v>
      </c>
      <c r="G2467" s="27">
        <v>497212337</v>
      </c>
      <c r="H2467" s="61" t="s">
        <v>92</v>
      </c>
      <c r="I2467" s="27">
        <v>497212337</v>
      </c>
      <c r="J2467" s="27">
        <v>5725721351.0799999</v>
      </c>
    </row>
    <row r="2468" spans="1:10">
      <c r="A2468" s="4">
        <v>46297</v>
      </c>
      <c r="D2468" s="27">
        <v>12351394043</v>
      </c>
      <c r="E2468" s="49" t="s">
        <v>84</v>
      </c>
      <c r="F2468" s="27">
        <v>12351394043</v>
      </c>
      <c r="G2468" s="27">
        <v>302061461</v>
      </c>
      <c r="H2468" s="61" t="s">
        <v>92</v>
      </c>
      <c r="I2468" s="27">
        <v>302061461</v>
      </c>
      <c r="J2468" s="27">
        <v>12653455504</v>
      </c>
    </row>
    <row r="2469" spans="1:10">
      <c r="A2469" s="4">
        <v>46298</v>
      </c>
      <c r="D2469" s="73" t="s">
        <v>84</v>
      </c>
      <c r="E2469" s="73" t="s">
        <v>84</v>
      </c>
      <c r="F2469" s="73" t="s">
        <v>86</v>
      </c>
      <c r="G2469" s="74">
        <v>1755557</v>
      </c>
      <c r="H2469" s="76" t="s">
        <v>92</v>
      </c>
      <c r="I2469" s="74">
        <v>1755557</v>
      </c>
      <c r="J2469" s="74">
        <v>1755557</v>
      </c>
    </row>
    <row r="2470" spans="1:10">
      <c r="A2470" s="4">
        <v>46299</v>
      </c>
      <c r="D2470" s="73" t="s">
        <v>84</v>
      </c>
      <c r="E2470" s="73" t="s">
        <v>84</v>
      </c>
      <c r="F2470" s="73" t="s">
        <v>86</v>
      </c>
      <c r="G2470" s="73" t="s">
        <v>84</v>
      </c>
      <c r="H2470" s="73" t="s">
        <v>84</v>
      </c>
      <c r="I2470" s="73" t="s">
        <v>89</v>
      </c>
      <c r="J2470" s="73" t="s">
        <v>88</v>
      </c>
    </row>
    <row r="2471" spans="1:10">
      <c r="A2471" s="4">
        <v>46300</v>
      </c>
      <c r="D2471" s="27">
        <v>6687284195.6599998</v>
      </c>
      <c r="E2471" s="49" t="s">
        <v>85</v>
      </c>
      <c r="F2471" s="27">
        <v>6687284195.6599998</v>
      </c>
      <c r="G2471" s="27">
        <v>312426615</v>
      </c>
      <c r="H2471" s="27">
        <v>100000000</v>
      </c>
      <c r="I2471" s="27">
        <v>412426615</v>
      </c>
      <c r="J2471" s="27">
        <v>7099710810.6599998</v>
      </c>
    </row>
    <row r="2472" spans="1:10">
      <c r="A2472" s="4">
        <v>46301</v>
      </c>
      <c r="D2472" s="27">
        <v>7694095065.5799999</v>
      </c>
      <c r="E2472" s="49" t="s">
        <v>85</v>
      </c>
      <c r="F2472" s="27">
        <v>7694095065.5799999</v>
      </c>
      <c r="G2472" s="27">
        <v>450013265</v>
      </c>
      <c r="H2472" s="27">
        <v>9172566400</v>
      </c>
      <c r="I2472" s="27">
        <v>9622579665</v>
      </c>
      <c r="J2472" s="27">
        <v>17316674730.580002</v>
      </c>
    </row>
    <row r="2473" spans="1:10">
      <c r="A2473" s="4">
        <v>46302</v>
      </c>
      <c r="D2473" s="27">
        <v>9623397570.5499992</v>
      </c>
      <c r="E2473" s="27">
        <v>5793.12</v>
      </c>
      <c r="F2473" s="27">
        <v>9623403363.6700001</v>
      </c>
      <c r="G2473" s="27">
        <v>237749347</v>
      </c>
      <c r="H2473" s="49" t="s">
        <v>85</v>
      </c>
      <c r="I2473" s="27">
        <v>237749347</v>
      </c>
      <c r="J2473" s="27">
        <v>9861152710.6700001</v>
      </c>
    </row>
    <row r="2474" spans="1:10">
      <c r="A2474" s="4">
        <v>46303</v>
      </c>
      <c r="D2474" s="27">
        <v>9000349130.4200001</v>
      </c>
      <c r="E2474" s="49" t="s">
        <v>85</v>
      </c>
      <c r="F2474" s="27">
        <v>9000349130.4200001</v>
      </c>
      <c r="G2474" s="27">
        <v>117803251</v>
      </c>
      <c r="H2474" s="49" t="s">
        <v>85</v>
      </c>
      <c r="I2474" s="27">
        <v>117803251</v>
      </c>
      <c r="J2474" s="27">
        <v>9118152381.4200001</v>
      </c>
    </row>
    <row r="2475" spans="1:10">
      <c r="A2475" s="4">
        <v>46304</v>
      </c>
      <c r="D2475" s="50">
        <v>5154164447.2200003</v>
      </c>
      <c r="E2475" s="61" t="s">
        <v>85</v>
      </c>
      <c r="F2475" s="50">
        <v>5154164447.2200003</v>
      </c>
      <c r="G2475" s="50">
        <v>119378926</v>
      </c>
      <c r="H2475" s="50">
        <v>100000000</v>
      </c>
      <c r="I2475" s="50">
        <v>219378926</v>
      </c>
      <c r="J2475" s="27">
        <v>5373543373.2200003</v>
      </c>
    </row>
    <row r="2476" spans="1:10">
      <c r="A2476" s="4">
        <v>46305</v>
      </c>
      <c r="D2476" s="73" t="s">
        <v>90</v>
      </c>
      <c r="E2476" s="73" t="s">
        <v>85</v>
      </c>
      <c r="F2476" s="76" t="s">
        <v>86</v>
      </c>
      <c r="G2476" s="74">
        <v>4386250</v>
      </c>
      <c r="H2476" s="73" t="s">
        <v>85</v>
      </c>
      <c r="I2476" s="77">
        <v>4386250</v>
      </c>
      <c r="J2476" s="74">
        <v>4386250</v>
      </c>
    </row>
    <row r="2477" spans="1:10">
      <c r="A2477" s="4">
        <v>46306</v>
      </c>
      <c r="D2477" s="78"/>
      <c r="E2477" s="78"/>
      <c r="F2477" s="78"/>
      <c r="G2477" s="78"/>
      <c r="H2477" s="78"/>
      <c r="I2477" s="78"/>
      <c r="J2477" s="78"/>
    </row>
    <row r="2478" spans="1:10">
      <c r="A2478" s="4">
        <v>46307</v>
      </c>
      <c r="C2478" s="27">
        <v>3500000000</v>
      </c>
      <c r="D2478" s="27">
        <v>7252718155.1599998</v>
      </c>
      <c r="E2478" s="27">
        <v>51734</v>
      </c>
      <c r="F2478" s="27">
        <v>10752769889.16</v>
      </c>
      <c r="G2478" s="50">
        <v>123403184</v>
      </c>
      <c r="H2478" s="61" t="s">
        <v>85</v>
      </c>
      <c r="I2478" s="50">
        <v>123403184</v>
      </c>
      <c r="J2478" s="27">
        <v>10876173073.16</v>
      </c>
    </row>
    <row r="2479" spans="1:10">
      <c r="A2479" s="4">
        <v>46308</v>
      </c>
      <c r="C2479" s="27">
        <v>3500000000</v>
      </c>
      <c r="D2479" s="27">
        <v>5074339575.0799999</v>
      </c>
      <c r="E2479" s="49" t="s">
        <v>85</v>
      </c>
      <c r="F2479" s="27">
        <v>8574339575.0799999</v>
      </c>
      <c r="G2479" s="50">
        <v>547184440</v>
      </c>
      <c r="H2479" s="49" t="s">
        <v>85</v>
      </c>
      <c r="I2479" s="50">
        <v>547184440</v>
      </c>
      <c r="J2479" s="27">
        <v>9121524015.0799999</v>
      </c>
    </row>
    <row r="2480" spans="1:10">
      <c r="A2480" s="4">
        <v>46309</v>
      </c>
      <c r="C2480" s="27">
        <v>3863537428.6399999</v>
      </c>
      <c r="D2480" s="27">
        <v>4792762685.9399996</v>
      </c>
      <c r="E2480" s="27">
        <v>986625</v>
      </c>
      <c r="F2480" s="27">
        <v>8657286739.5799999</v>
      </c>
      <c r="G2480" s="27">
        <v>290954234</v>
      </c>
      <c r="H2480" s="49" t="s">
        <v>85</v>
      </c>
      <c r="I2480" s="50">
        <v>290954234</v>
      </c>
      <c r="J2480" s="27">
        <v>8948240973.5799999</v>
      </c>
    </row>
    <row r="2481" spans="1:1">
      <c r="A2481" s="4">
        <v>46310</v>
      </c>
    </row>
    <row r="2482" spans="1:1">
      <c r="A2482" s="4">
        <v>46311</v>
      </c>
    </row>
    <row r="2483" spans="1:1">
      <c r="A2483" s="4">
        <v>46312</v>
      </c>
    </row>
    <row r="2484" spans="1:1">
      <c r="A2484" s="4">
        <v>46313</v>
      </c>
    </row>
    <row r="2485" spans="1:1">
      <c r="A2485" s="4">
        <v>46314</v>
      </c>
    </row>
    <row r="2486" spans="1:1">
      <c r="A2486" s="4">
        <v>46315</v>
      </c>
    </row>
    <row r="2487" spans="1:1">
      <c r="A2487" s="4">
        <v>46316</v>
      </c>
    </row>
    <row r="2488" spans="1:1">
      <c r="A2488" s="4">
        <v>46317</v>
      </c>
    </row>
    <row r="2489" spans="1:1">
      <c r="A2489" s="4">
        <v>46318</v>
      </c>
    </row>
    <row r="2490" spans="1:1">
      <c r="A2490" s="4">
        <v>46319</v>
      </c>
    </row>
    <row r="2491" spans="1:1">
      <c r="A2491" s="4">
        <v>46320</v>
      </c>
    </row>
    <row r="2492" spans="1:1">
      <c r="A2492" s="4">
        <v>46321</v>
      </c>
    </row>
    <row r="2493" spans="1:1">
      <c r="A2493" s="4">
        <v>46322</v>
      </c>
    </row>
    <row r="2494" spans="1:1">
      <c r="A2494" s="4">
        <v>46323</v>
      </c>
    </row>
    <row r="2495" spans="1:1">
      <c r="A2495" s="4">
        <v>46324</v>
      </c>
    </row>
    <row r="2496" spans="1:1">
      <c r="A2496" s="4">
        <v>46325</v>
      </c>
    </row>
    <row r="2497" spans="1:1">
      <c r="A2497" s="4">
        <v>46326</v>
      </c>
    </row>
    <row r="2498" spans="1:1">
      <c r="A2498" s="4">
        <v>46327</v>
      </c>
    </row>
    <row r="2499" spans="1:1">
      <c r="A2499" s="4">
        <v>46328</v>
      </c>
    </row>
    <row r="2500" spans="1:1">
      <c r="A2500" s="4">
        <v>46329</v>
      </c>
    </row>
  </sheetData>
  <protectedRanges>
    <protectedRange sqref="C2284:M2313 B1:B1048576 C1:N2283 J2338 I2314:J2337 I2339:J1048576 C2314:H1048576 K2314:N1048576" name="Values"/>
  </protectedRanges>
  <mergeCells count="1">
    <mergeCell ref="R2:R11"/>
  </mergeCells>
  <conditionalFormatting sqref="A1:A1048576">
    <cfRule type="expression" dxfId="0" priority="1">
      <formula>COUNTIF(holidays, A2)&gt;0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04F3-3B78-4374-AC45-CD7C28CA3570}">
  <dimension ref="A1:F29"/>
  <sheetViews>
    <sheetView workbookViewId="0">
      <selection activeCell="D11" sqref="D11"/>
    </sheetView>
  </sheetViews>
  <sheetFormatPr defaultColWidth="8.85546875" defaultRowHeight="15"/>
  <cols>
    <col min="1" max="1" width="13.42578125" bestFit="1" customWidth="1"/>
    <col min="2" max="2" width="29.28515625" customWidth="1"/>
    <col min="6" max="6" width="64.28515625" customWidth="1"/>
  </cols>
  <sheetData>
    <row r="1" spans="1:6">
      <c r="A1" t="s">
        <v>1</v>
      </c>
      <c r="B1" t="s">
        <v>2</v>
      </c>
      <c r="F1" s="15" t="s">
        <v>16</v>
      </c>
    </row>
    <row r="2" spans="1:6">
      <c r="A2" s="1" t="s">
        <v>17</v>
      </c>
      <c r="B2" t="s">
        <v>93</v>
      </c>
      <c r="F2" s="82" t="s">
        <v>94</v>
      </c>
    </row>
    <row r="3" spans="1:6">
      <c r="A3" s="1" t="s">
        <v>19</v>
      </c>
      <c r="B3" t="s">
        <v>95</v>
      </c>
      <c r="F3" s="80"/>
    </row>
    <row r="4" spans="1:6">
      <c r="A4" s="1" t="s">
        <v>20</v>
      </c>
      <c r="B4" t="s">
        <v>96</v>
      </c>
      <c r="F4" s="80"/>
    </row>
    <row r="5" spans="1:6">
      <c r="A5" s="1" t="s">
        <v>21</v>
      </c>
      <c r="B5" t="s">
        <v>97</v>
      </c>
      <c r="F5" s="80"/>
    </row>
    <row r="6" spans="1:6">
      <c r="A6" s="1" t="s">
        <v>22</v>
      </c>
      <c r="B6" t="s">
        <v>98</v>
      </c>
      <c r="F6" s="80"/>
    </row>
    <row r="7" spans="1:6">
      <c r="A7" s="1" t="s">
        <v>24</v>
      </c>
      <c r="B7" t="s">
        <v>99</v>
      </c>
      <c r="F7" s="80"/>
    </row>
    <row r="8" spans="1:6">
      <c r="A8" s="1" t="s">
        <v>26</v>
      </c>
      <c r="B8" t="s">
        <v>100</v>
      </c>
      <c r="F8" s="80"/>
    </row>
    <row r="9" spans="1:6">
      <c r="A9" s="1" t="s">
        <v>45</v>
      </c>
      <c r="B9" t="s">
        <v>101</v>
      </c>
      <c r="F9" s="80"/>
    </row>
    <row r="10" spans="1:6">
      <c r="A10" s="1" t="s">
        <v>28</v>
      </c>
      <c r="B10" t="s">
        <v>102</v>
      </c>
      <c r="F10" s="81"/>
    </row>
    <row r="11" spans="1:6">
      <c r="A11" s="1" t="s">
        <v>30</v>
      </c>
      <c r="B11" t="s">
        <v>103</v>
      </c>
    </row>
    <row r="12" spans="1:6" ht="16.5">
      <c r="A12" s="1" t="s">
        <v>31</v>
      </c>
      <c r="B12" t="s">
        <v>104</v>
      </c>
      <c r="F12" s="28"/>
    </row>
    <row r="13" spans="1:6">
      <c r="A13" s="1" t="s">
        <v>32</v>
      </c>
      <c r="B13" t="s">
        <v>105</v>
      </c>
      <c r="F13" s="29"/>
    </row>
    <row r="14" spans="1:6">
      <c r="A14" s="1" t="s">
        <v>35</v>
      </c>
      <c r="B14" t="s">
        <v>106</v>
      </c>
      <c r="F14" s="30"/>
    </row>
    <row r="15" spans="1:6">
      <c r="A15" t="s">
        <v>33</v>
      </c>
      <c r="B15" t="s">
        <v>107</v>
      </c>
    </row>
    <row r="16" spans="1:6">
      <c r="A16" t="s">
        <v>25</v>
      </c>
      <c r="B16" t="s">
        <v>108</v>
      </c>
    </row>
    <row r="17" spans="1:2">
      <c r="A17" t="s">
        <v>36</v>
      </c>
      <c r="B17" t="s">
        <v>109</v>
      </c>
    </row>
    <row r="18" spans="1:2">
      <c r="A18" t="s">
        <v>39</v>
      </c>
      <c r="B18" t="s">
        <v>110</v>
      </c>
    </row>
    <row r="19" spans="1:2">
      <c r="A19" t="s">
        <v>38</v>
      </c>
      <c r="B19" t="s">
        <v>111</v>
      </c>
    </row>
    <row r="20" spans="1:2">
      <c r="A20" t="s">
        <v>37</v>
      </c>
      <c r="B20" t="s">
        <v>112</v>
      </c>
    </row>
    <row r="21" spans="1:2">
      <c r="A21" t="s">
        <v>40</v>
      </c>
      <c r="B21" t="s">
        <v>113</v>
      </c>
    </row>
    <row r="22" spans="1:2">
      <c r="A22" t="s">
        <v>23</v>
      </c>
      <c r="B22" t="s">
        <v>114</v>
      </c>
    </row>
    <row r="23" spans="1:2">
      <c r="A23" t="s">
        <v>27</v>
      </c>
      <c r="B23" t="s">
        <v>115</v>
      </c>
    </row>
    <row r="24" spans="1:2">
      <c r="A24" t="s">
        <v>29</v>
      </c>
      <c r="B24" t="s">
        <v>116</v>
      </c>
    </row>
    <row r="25" spans="1:2">
      <c r="A25" t="s">
        <v>34</v>
      </c>
      <c r="B25" t="s">
        <v>117</v>
      </c>
    </row>
    <row r="26" spans="1:2">
      <c r="A26" t="s">
        <v>41</v>
      </c>
      <c r="B26" t="s">
        <v>118</v>
      </c>
    </row>
    <row r="27" spans="1:2">
      <c r="A27" t="s">
        <v>43</v>
      </c>
      <c r="B27" t="s">
        <v>119</v>
      </c>
    </row>
    <row r="28" spans="1:2">
      <c r="A28" t="s">
        <v>44</v>
      </c>
      <c r="B28" t="s">
        <v>120</v>
      </c>
    </row>
    <row r="29" spans="1:2">
      <c r="A29" t="s">
        <v>53</v>
      </c>
      <c r="B29" t="s">
        <v>121</v>
      </c>
    </row>
  </sheetData>
  <protectedRanges>
    <protectedRange sqref="A1:B1048576" name="RevenueCodes"/>
  </protectedRanges>
  <mergeCells count="1">
    <mergeCell ref="F2:F10"/>
  </mergeCells>
  <dataValidations count="1">
    <dataValidation type="list" allowBlank="1" showInputMessage="1" showErrorMessage="1" sqref="A27:A28" xr:uid="{8FAFEFD9-E3AC-3C49-A6B1-24DD29149C42}">
      <formula1>$A$1:$A$99</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5AD6-3E7E-4C7F-83C3-8D3C37F2BC98}">
  <dimension ref="A1:H187"/>
  <sheetViews>
    <sheetView topLeftCell="A10" workbookViewId="0">
      <selection activeCell="H2" sqref="H2:H9"/>
    </sheetView>
  </sheetViews>
  <sheetFormatPr defaultRowHeight="15"/>
  <cols>
    <col min="1" max="1" width="13.7109375" style="4" customWidth="1"/>
    <col min="2" max="2" width="11.85546875" bestFit="1" customWidth="1"/>
    <col min="3" max="4" width="36.5703125" bestFit="1" customWidth="1"/>
    <col min="8" max="8" width="57.140625" customWidth="1"/>
  </cols>
  <sheetData>
    <row r="1" spans="1:8" ht="16.5">
      <c r="A1" s="13" t="s">
        <v>59</v>
      </c>
      <c r="B1" s="9" t="s">
        <v>122</v>
      </c>
      <c r="C1" s="11" t="s">
        <v>123</v>
      </c>
      <c r="D1" s="9" t="s">
        <v>124</v>
      </c>
      <c r="H1" s="16" t="s">
        <v>16</v>
      </c>
    </row>
    <row r="2" spans="1:8" ht="16.5">
      <c r="A2" s="13">
        <v>43840</v>
      </c>
      <c r="B2" s="10" t="s">
        <v>125</v>
      </c>
      <c r="C2" s="12" t="s">
        <v>126</v>
      </c>
      <c r="D2" s="10" t="s">
        <v>127</v>
      </c>
      <c r="H2" s="79" t="s">
        <v>128</v>
      </c>
    </row>
    <row r="3" spans="1:8" ht="16.5">
      <c r="A3" s="13">
        <v>43845</v>
      </c>
      <c r="B3" s="10" t="s">
        <v>129</v>
      </c>
      <c r="C3" s="12" t="s">
        <v>130</v>
      </c>
      <c r="D3" s="10" t="s">
        <v>131</v>
      </c>
      <c r="H3" s="80"/>
    </row>
    <row r="4" spans="1:8" ht="16.5">
      <c r="A4" s="13">
        <v>43865</v>
      </c>
      <c r="B4" s="10" t="s">
        <v>132</v>
      </c>
      <c r="C4" s="12" t="s">
        <v>133</v>
      </c>
      <c r="D4" s="10" t="s">
        <v>131</v>
      </c>
      <c r="H4" s="80"/>
    </row>
    <row r="5" spans="1:8" ht="16.5">
      <c r="A5" s="13">
        <v>43869</v>
      </c>
      <c r="B5" s="10" t="s">
        <v>134</v>
      </c>
      <c r="C5" s="12" t="s">
        <v>135</v>
      </c>
      <c r="D5" s="10" t="s">
        <v>127</v>
      </c>
      <c r="H5" s="80"/>
    </row>
    <row r="6" spans="1:8" ht="16.5">
      <c r="A6" s="13">
        <v>43882</v>
      </c>
      <c r="B6" s="10" t="s">
        <v>125</v>
      </c>
      <c r="C6" s="12" t="s">
        <v>136</v>
      </c>
      <c r="D6" s="10" t="s">
        <v>127</v>
      </c>
      <c r="H6" s="80"/>
    </row>
    <row r="7" spans="1:8" ht="16.5">
      <c r="A7" s="13">
        <v>43899</v>
      </c>
      <c r="B7" s="10" t="s">
        <v>137</v>
      </c>
      <c r="C7" s="12" t="s">
        <v>138</v>
      </c>
      <c r="D7" s="10" t="s">
        <v>127</v>
      </c>
      <c r="H7" s="80"/>
    </row>
    <row r="8" spans="1:8" ht="16.5">
      <c r="A8" s="13">
        <v>43928</v>
      </c>
      <c r="B8" s="10" t="s">
        <v>132</v>
      </c>
      <c r="C8" s="12" t="s">
        <v>139</v>
      </c>
      <c r="D8" s="10" t="s">
        <v>127</v>
      </c>
      <c r="H8" s="80"/>
    </row>
    <row r="9" spans="1:8" ht="16.5">
      <c r="A9" s="13">
        <v>43931</v>
      </c>
      <c r="B9" s="10" t="s">
        <v>125</v>
      </c>
      <c r="C9" s="12" t="s">
        <v>140</v>
      </c>
      <c r="D9" s="10" t="s">
        <v>127</v>
      </c>
      <c r="H9" s="81"/>
    </row>
    <row r="10" spans="1:8" ht="33.75">
      <c r="A10" s="13">
        <v>43933</v>
      </c>
      <c r="B10" s="10" t="s">
        <v>141</v>
      </c>
      <c r="C10" s="12" t="s">
        <v>142</v>
      </c>
      <c r="D10" s="10" t="s">
        <v>131</v>
      </c>
    </row>
    <row r="11" spans="1:8" ht="16.5">
      <c r="A11" s="13">
        <v>43934</v>
      </c>
      <c r="B11" s="10" t="s">
        <v>137</v>
      </c>
      <c r="C11" s="12" t="s">
        <v>143</v>
      </c>
      <c r="D11" s="10" t="s">
        <v>131</v>
      </c>
    </row>
    <row r="12" spans="1:8" ht="16.5">
      <c r="A12" s="13">
        <v>43935</v>
      </c>
      <c r="B12" s="10" t="s">
        <v>132</v>
      </c>
      <c r="C12" s="12" t="s">
        <v>144</v>
      </c>
      <c r="D12" s="10" t="s">
        <v>145</v>
      </c>
    </row>
    <row r="13" spans="1:8" ht="16.5">
      <c r="A13" s="13">
        <v>43952</v>
      </c>
      <c r="B13" s="10" t="s">
        <v>125</v>
      </c>
      <c r="C13" s="12" t="s">
        <v>146</v>
      </c>
      <c r="D13" s="10" t="s">
        <v>131</v>
      </c>
    </row>
    <row r="14" spans="1:8" ht="16.5">
      <c r="A14" s="13">
        <v>43958</v>
      </c>
      <c r="B14" s="10" t="s">
        <v>147</v>
      </c>
      <c r="C14" s="12" t="s">
        <v>148</v>
      </c>
      <c r="D14" s="10" t="s">
        <v>127</v>
      </c>
    </row>
    <row r="15" spans="1:8" ht="33.75">
      <c r="A15" s="13">
        <v>43959</v>
      </c>
      <c r="B15" s="10" t="s">
        <v>125</v>
      </c>
      <c r="C15" s="12" t="s">
        <v>149</v>
      </c>
      <c r="D15" s="10" t="s">
        <v>131</v>
      </c>
    </row>
    <row r="16" spans="1:8" ht="16.5">
      <c r="A16" s="13">
        <v>43976</v>
      </c>
      <c r="B16" s="10" t="s">
        <v>137</v>
      </c>
      <c r="C16" s="12" t="s">
        <v>150</v>
      </c>
      <c r="D16" s="10" t="s">
        <v>127</v>
      </c>
    </row>
    <row r="17" spans="1:4" ht="16.5">
      <c r="A17" s="13">
        <v>43987</v>
      </c>
      <c r="B17" s="10" t="s">
        <v>125</v>
      </c>
      <c r="C17" s="12" t="s">
        <v>151</v>
      </c>
      <c r="D17" s="10" t="s">
        <v>127</v>
      </c>
    </row>
    <row r="18" spans="1:4" ht="16.5">
      <c r="A18" s="13">
        <v>44016</v>
      </c>
      <c r="B18" s="10" t="s">
        <v>134</v>
      </c>
      <c r="C18" s="12" t="s">
        <v>152</v>
      </c>
      <c r="D18" s="10" t="s">
        <v>127</v>
      </c>
    </row>
    <row r="19" spans="1:4" ht="16.5">
      <c r="A19" s="13">
        <v>44044</v>
      </c>
      <c r="B19" s="10" t="s">
        <v>134</v>
      </c>
      <c r="C19" s="12" t="s">
        <v>153</v>
      </c>
      <c r="D19" s="10" t="s">
        <v>127</v>
      </c>
    </row>
    <row r="20" spans="1:4" ht="16.5">
      <c r="A20" s="13">
        <v>44046</v>
      </c>
      <c r="B20" s="10" t="s">
        <v>137</v>
      </c>
      <c r="C20" s="12" t="s">
        <v>154</v>
      </c>
      <c r="D20" s="10" t="s">
        <v>127</v>
      </c>
    </row>
    <row r="21" spans="1:4" ht="16.5">
      <c r="A21" s="13">
        <v>44075</v>
      </c>
      <c r="B21" s="10" t="s">
        <v>132</v>
      </c>
      <c r="C21" s="12" t="s">
        <v>155</v>
      </c>
      <c r="D21" s="10" t="s">
        <v>127</v>
      </c>
    </row>
    <row r="22" spans="1:4" ht="16.5">
      <c r="A22" s="13">
        <v>44105</v>
      </c>
      <c r="B22" s="10" t="s">
        <v>147</v>
      </c>
      <c r="C22" s="12" t="s">
        <v>156</v>
      </c>
      <c r="D22" s="10" t="s">
        <v>127</v>
      </c>
    </row>
    <row r="23" spans="1:4" ht="33.75">
      <c r="A23" s="13">
        <v>44134</v>
      </c>
      <c r="B23" s="10" t="s">
        <v>125</v>
      </c>
      <c r="C23" s="12" t="s">
        <v>157</v>
      </c>
      <c r="D23" s="10" t="s">
        <v>131</v>
      </c>
    </row>
    <row r="24" spans="1:4" ht="16.5">
      <c r="A24" s="13">
        <v>44134</v>
      </c>
      <c r="B24" s="10" t="s">
        <v>125</v>
      </c>
      <c r="C24" s="12" t="s">
        <v>158</v>
      </c>
      <c r="D24" s="10" t="s">
        <v>127</v>
      </c>
    </row>
    <row r="25" spans="1:4" ht="16.5">
      <c r="A25" s="13">
        <v>44149</v>
      </c>
      <c r="B25" s="10" t="s">
        <v>134</v>
      </c>
      <c r="C25" s="12" t="s">
        <v>159</v>
      </c>
      <c r="D25" s="10" t="s">
        <v>127</v>
      </c>
    </row>
    <row r="26" spans="1:4" ht="16.5">
      <c r="A26" s="13">
        <v>44164</v>
      </c>
      <c r="B26" s="10" t="s">
        <v>141</v>
      </c>
      <c r="C26" s="12" t="s">
        <v>160</v>
      </c>
      <c r="D26" s="10" t="s">
        <v>127</v>
      </c>
    </row>
    <row r="27" spans="1:4" ht="16.5">
      <c r="A27" s="13">
        <v>44190</v>
      </c>
      <c r="B27" s="10" t="s">
        <v>125</v>
      </c>
      <c r="C27" s="12" t="s">
        <v>161</v>
      </c>
      <c r="D27" s="10" t="s">
        <v>131</v>
      </c>
    </row>
    <row r="28" spans="1:4" ht="16.5">
      <c r="A28" s="13">
        <v>44194</v>
      </c>
      <c r="B28" s="10" t="s">
        <v>132</v>
      </c>
      <c r="C28" s="12" t="s">
        <v>162</v>
      </c>
      <c r="D28" s="10" t="s">
        <v>127</v>
      </c>
    </row>
    <row r="29" spans="1:4" ht="16.5">
      <c r="A29" s="13">
        <v>44210</v>
      </c>
      <c r="B29" s="10" t="s">
        <v>147</v>
      </c>
      <c r="C29" s="12" t="s">
        <v>130</v>
      </c>
      <c r="D29" s="10" t="s">
        <v>131</v>
      </c>
    </row>
    <row r="30" spans="1:4" ht="16.5">
      <c r="A30" s="13">
        <v>44224</v>
      </c>
      <c r="B30" s="10" t="s">
        <v>147</v>
      </c>
      <c r="C30" s="12" t="s">
        <v>126</v>
      </c>
      <c r="D30" s="10" t="s">
        <v>127</v>
      </c>
    </row>
    <row r="31" spans="1:4" ht="16.5">
      <c r="A31" s="13">
        <v>44231</v>
      </c>
      <c r="B31" s="10" t="s">
        <v>147</v>
      </c>
      <c r="C31" s="12" t="s">
        <v>163</v>
      </c>
      <c r="D31" s="10" t="s">
        <v>131</v>
      </c>
    </row>
    <row r="32" spans="1:4" ht="16.5">
      <c r="A32" s="13">
        <v>44253</v>
      </c>
      <c r="B32" s="10" t="s">
        <v>125</v>
      </c>
      <c r="C32" s="12" t="s">
        <v>135</v>
      </c>
      <c r="D32" s="10" t="s">
        <v>127</v>
      </c>
    </row>
    <row r="33" spans="1:4" ht="16.5">
      <c r="A33" s="13">
        <v>44266</v>
      </c>
      <c r="B33" s="10" t="s">
        <v>147</v>
      </c>
      <c r="C33" s="12" t="s">
        <v>136</v>
      </c>
      <c r="D33" s="10" t="s">
        <v>127</v>
      </c>
    </row>
    <row r="34" spans="1:4" ht="16.5">
      <c r="A34" s="13">
        <v>44283</v>
      </c>
      <c r="B34" s="10" t="s">
        <v>141</v>
      </c>
      <c r="C34" s="12" t="s">
        <v>138</v>
      </c>
      <c r="D34" s="10" t="s">
        <v>127</v>
      </c>
    </row>
    <row r="35" spans="1:4" ht="16.5">
      <c r="A35" s="13">
        <v>44288</v>
      </c>
      <c r="B35" s="10" t="s">
        <v>125</v>
      </c>
      <c r="C35" s="12" t="s">
        <v>140</v>
      </c>
      <c r="D35" s="10" t="s">
        <v>127</v>
      </c>
    </row>
    <row r="36" spans="1:4" ht="33.75">
      <c r="A36" s="13">
        <v>44299</v>
      </c>
      <c r="B36" s="10" t="s">
        <v>132</v>
      </c>
      <c r="C36" s="12" t="s">
        <v>142</v>
      </c>
      <c r="D36" s="10" t="s">
        <v>131</v>
      </c>
    </row>
    <row r="37" spans="1:4" ht="16.5">
      <c r="A37" s="13">
        <v>44300</v>
      </c>
      <c r="B37" s="10" t="s">
        <v>129</v>
      </c>
      <c r="C37" s="12" t="s">
        <v>143</v>
      </c>
      <c r="D37" s="10" t="s">
        <v>131</v>
      </c>
    </row>
    <row r="38" spans="1:4" ht="16.5">
      <c r="A38" s="13">
        <v>44312</v>
      </c>
      <c r="B38" s="10" t="s">
        <v>137</v>
      </c>
      <c r="C38" s="12" t="s">
        <v>139</v>
      </c>
      <c r="D38" s="10" t="s">
        <v>127</v>
      </c>
    </row>
    <row r="39" spans="1:4" ht="33.75">
      <c r="A39" s="13">
        <v>44316</v>
      </c>
      <c r="B39" s="10" t="s">
        <v>125</v>
      </c>
      <c r="C39" s="12" t="s">
        <v>164</v>
      </c>
      <c r="D39" s="10" t="s">
        <v>145</v>
      </c>
    </row>
    <row r="40" spans="1:4" ht="16.5">
      <c r="A40" s="13">
        <v>44317</v>
      </c>
      <c r="B40" s="10" t="s">
        <v>134</v>
      </c>
      <c r="C40" s="12" t="s">
        <v>146</v>
      </c>
      <c r="D40" s="10" t="s">
        <v>131</v>
      </c>
    </row>
    <row r="41" spans="1:4" ht="16.5">
      <c r="A41" s="13">
        <v>44330</v>
      </c>
      <c r="B41" s="10" t="s">
        <v>125</v>
      </c>
      <c r="C41" s="12" t="s">
        <v>150</v>
      </c>
      <c r="D41" s="10" t="s">
        <v>127</v>
      </c>
    </row>
    <row r="42" spans="1:4" ht="16.5">
      <c r="A42" s="13">
        <v>44342</v>
      </c>
      <c r="B42" s="10" t="s">
        <v>129</v>
      </c>
      <c r="C42" s="12" t="s">
        <v>148</v>
      </c>
      <c r="D42" s="10" t="s">
        <v>127</v>
      </c>
    </row>
    <row r="43" spans="1:4" ht="33.75">
      <c r="A43" s="13">
        <v>44343</v>
      </c>
      <c r="B43" s="10" t="s">
        <v>147</v>
      </c>
      <c r="C43" s="12" t="s">
        <v>149</v>
      </c>
      <c r="D43" s="10" t="s">
        <v>131</v>
      </c>
    </row>
    <row r="44" spans="1:4" ht="16.5">
      <c r="A44" s="13">
        <v>44371</v>
      </c>
      <c r="B44" s="10" t="s">
        <v>147</v>
      </c>
      <c r="C44" s="12" t="s">
        <v>151</v>
      </c>
      <c r="D44" s="10" t="s">
        <v>127</v>
      </c>
    </row>
    <row r="45" spans="1:4" ht="16.5">
      <c r="A45" s="13">
        <v>44398</v>
      </c>
      <c r="B45" s="10" t="s">
        <v>129</v>
      </c>
      <c r="C45" s="12" t="s">
        <v>153</v>
      </c>
      <c r="D45" s="10" t="s">
        <v>127</v>
      </c>
    </row>
    <row r="46" spans="1:4" ht="16.5">
      <c r="A46" s="13">
        <v>44400</v>
      </c>
      <c r="B46" s="10" t="s">
        <v>125</v>
      </c>
      <c r="C46" s="12" t="s">
        <v>152</v>
      </c>
      <c r="D46" s="10" t="s">
        <v>127</v>
      </c>
    </row>
    <row r="47" spans="1:4" ht="16.5">
      <c r="A47" s="13">
        <v>44430</v>
      </c>
      <c r="B47" s="10" t="s">
        <v>141</v>
      </c>
      <c r="C47" s="12" t="s">
        <v>154</v>
      </c>
      <c r="D47" s="10" t="s">
        <v>127</v>
      </c>
    </row>
    <row r="48" spans="1:4" ht="16.5">
      <c r="A48" s="13">
        <v>44459</v>
      </c>
      <c r="B48" s="10" t="s">
        <v>137</v>
      </c>
      <c r="C48" s="12" t="s">
        <v>155</v>
      </c>
      <c r="D48" s="10" t="s">
        <v>127</v>
      </c>
    </row>
    <row r="49" spans="1:4" ht="33.75">
      <c r="A49" s="13">
        <v>44488</v>
      </c>
      <c r="B49" s="10" t="s">
        <v>132</v>
      </c>
      <c r="C49" s="12" t="s">
        <v>157</v>
      </c>
      <c r="D49" s="10" t="s">
        <v>131</v>
      </c>
    </row>
    <row r="50" spans="1:4" ht="16.5">
      <c r="A50" s="13">
        <v>44489</v>
      </c>
      <c r="B50" s="10" t="s">
        <v>129</v>
      </c>
      <c r="C50" s="12" t="s">
        <v>158</v>
      </c>
      <c r="D50" s="10" t="s">
        <v>127</v>
      </c>
    </row>
    <row r="51" spans="1:4" ht="16.5">
      <c r="A51" s="13">
        <v>44504</v>
      </c>
      <c r="B51" s="10" t="s">
        <v>147</v>
      </c>
      <c r="C51" s="12" t="s">
        <v>159</v>
      </c>
      <c r="D51" s="10" t="s">
        <v>127</v>
      </c>
    </row>
    <row r="52" spans="1:4" ht="16.5">
      <c r="A52" s="13">
        <v>44518</v>
      </c>
      <c r="B52" s="10" t="s">
        <v>147</v>
      </c>
      <c r="C52" s="12" t="s">
        <v>160</v>
      </c>
      <c r="D52" s="10" t="s">
        <v>127</v>
      </c>
    </row>
    <row r="53" spans="1:4" ht="16.5">
      <c r="A53" s="13">
        <v>44548</v>
      </c>
      <c r="B53" s="10" t="s">
        <v>134</v>
      </c>
      <c r="C53" s="12" t="s">
        <v>162</v>
      </c>
      <c r="D53" s="10" t="s">
        <v>127</v>
      </c>
    </row>
    <row r="54" spans="1:4" ht="33.75">
      <c r="A54" s="13">
        <v>44554</v>
      </c>
      <c r="B54" s="10" t="s">
        <v>125</v>
      </c>
      <c r="C54" s="12" t="s">
        <v>165</v>
      </c>
      <c r="D54" s="10" t="s">
        <v>145</v>
      </c>
    </row>
    <row r="55" spans="1:4" ht="16.5">
      <c r="A55" s="13">
        <v>44555</v>
      </c>
      <c r="B55" s="10" t="s">
        <v>134</v>
      </c>
      <c r="C55" s="12" t="s">
        <v>161</v>
      </c>
      <c r="D55" s="10" t="s">
        <v>131</v>
      </c>
    </row>
    <row r="56" spans="1:4" ht="16.5">
      <c r="A56" s="13">
        <v>44575</v>
      </c>
      <c r="B56" s="10" t="s">
        <v>125</v>
      </c>
      <c r="C56" s="12" t="s">
        <v>130</v>
      </c>
      <c r="D56" s="10" t="s">
        <v>131</v>
      </c>
    </row>
    <row r="57" spans="1:4" ht="16.5">
      <c r="A57" s="13">
        <v>44578</v>
      </c>
      <c r="B57" s="10" t="s">
        <v>137</v>
      </c>
      <c r="C57" s="12" t="s">
        <v>126</v>
      </c>
      <c r="D57" s="10" t="s">
        <v>127</v>
      </c>
    </row>
    <row r="58" spans="1:4" ht="16.5">
      <c r="A58" s="13">
        <v>44596</v>
      </c>
      <c r="B58" s="10" t="s">
        <v>125</v>
      </c>
      <c r="C58" s="12" t="s">
        <v>166</v>
      </c>
      <c r="D58" s="10" t="s">
        <v>131</v>
      </c>
    </row>
    <row r="59" spans="1:4" ht="16.5">
      <c r="A59" s="13">
        <v>44608</v>
      </c>
      <c r="B59" s="10" t="s">
        <v>129</v>
      </c>
      <c r="C59" s="12" t="s">
        <v>135</v>
      </c>
      <c r="D59" s="10" t="s">
        <v>127</v>
      </c>
    </row>
    <row r="60" spans="1:4" ht="16.5">
      <c r="A60" s="13">
        <v>44621</v>
      </c>
      <c r="B60" s="10" t="s">
        <v>132</v>
      </c>
      <c r="C60" s="12" t="s">
        <v>136</v>
      </c>
      <c r="D60" s="10" t="s">
        <v>127</v>
      </c>
    </row>
    <row r="61" spans="1:4" ht="16.5">
      <c r="A61" s="13">
        <v>44637</v>
      </c>
      <c r="B61" s="10" t="s">
        <v>147</v>
      </c>
      <c r="C61" s="12" t="s">
        <v>138</v>
      </c>
      <c r="D61" s="10" t="s">
        <v>127</v>
      </c>
    </row>
    <row r="62" spans="1:4" ht="33.75">
      <c r="A62" s="13">
        <v>44664</v>
      </c>
      <c r="B62" s="10" t="s">
        <v>129</v>
      </c>
      <c r="C62" s="12" t="s">
        <v>142</v>
      </c>
      <c r="D62" s="10" t="s">
        <v>131</v>
      </c>
    </row>
    <row r="63" spans="1:4" ht="16.5">
      <c r="A63" s="13">
        <v>44665</v>
      </c>
      <c r="B63" s="10" t="s">
        <v>147</v>
      </c>
      <c r="C63" s="12" t="s">
        <v>143</v>
      </c>
      <c r="D63" s="10" t="s">
        <v>131</v>
      </c>
    </row>
    <row r="64" spans="1:4" ht="16.5">
      <c r="A64" s="13">
        <v>44666</v>
      </c>
      <c r="B64" s="10" t="s">
        <v>125</v>
      </c>
      <c r="C64" s="12" t="s">
        <v>140</v>
      </c>
      <c r="D64" s="10" t="s">
        <v>127</v>
      </c>
    </row>
    <row r="65" spans="1:4" ht="16.5">
      <c r="A65" s="13">
        <v>44667</v>
      </c>
      <c r="B65" s="10" t="s">
        <v>134</v>
      </c>
      <c r="C65" s="12" t="s">
        <v>139</v>
      </c>
      <c r="D65" s="10" t="s">
        <v>127</v>
      </c>
    </row>
    <row r="66" spans="1:4" ht="16.5">
      <c r="A66" s="13">
        <v>44682</v>
      </c>
      <c r="B66" s="10" t="s">
        <v>141</v>
      </c>
      <c r="C66" s="12" t="s">
        <v>146</v>
      </c>
      <c r="D66" s="10" t="s">
        <v>131</v>
      </c>
    </row>
    <row r="67" spans="1:4" ht="33.75">
      <c r="A67" s="13">
        <v>44683</v>
      </c>
      <c r="B67" s="10" t="s">
        <v>137</v>
      </c>
      <c r="C67" s="12" t="s">
        <v>167</v>
      </c>
      <c r="D67" s="10" t="s">
        <v>145</v>
      </c>
    </row>
    <row r="68" spans="1:4" ht="16.5">
      <c r="A68" s="13">
        <v>44684</v>
      </c>
      <c r="B68" s="10" t="s">
        <v>132</v>
      </c>
      <c r="C68" s="12" t="s">
        <v>150</v>
      </c>
      <c r="D68" s="10" t="s">
        <v>127</v>
      </c>
    </row>
    <row r="69" spans="1:4" ht="16.5">
      <c r="A69" s="13">
        <v>44696</v>
      </c>
      <c r="B69" s="10" t="s">
        <v>141</v>
      </c>
      <c r="C69" s="12" t="s">
        <v>148</v>
      </c>
      <c r="D69" s="10" t="s">
        <v>127</v>
      </c>
    </row>
    <row r="70" spans="1:4" ht="33.75">
      <c r="A70" s="13">
        <v>44697</v>
      </c>
      <c r="B70" s="10" t="s">
        <v>137</v>
      </c>
      <c r="C70" s="12" t="s">
        <v>149</v>
      </c>
      <c r="D70" s="10" t="s">
        <v>131</v>
      </c>
    </row>
    <row r="71" spans="1:4" ht="16.5">
      <c r="A71" s="13">
        <v>44726</v>
      </c>
      <c r="B71" s="10" t="s">
        <v>132</v>
      </c>
      <c r="C71" s="12" t="s">
        <v>151</v>
      </c>
      <c r="D71" s="10" t="s">
        <v>127</v>
      </c>
    </row>
    <row r="72" spans="1:4" ht="16.5">
      <c r="A72" s="13">
        <v>44752</v>
      </c>
      <c r="B72" s="10" t="s">
        <v>141</v>
      </c>
      <c r="C72" s="12" t="s">
        <v>153</v>
      </c>
      <c r="D72" s="10" t="s">
        <v>127</v>
      </c>
    </row>
    <row r="73" spans="1:4" ht="16.5">
      <c r="A73" s="13">
        <v>44755</v>
      </c>
      <c r="B73" s="10" t="s">
        <v>129</v>
      </c>
      <c r="C73" s="12" t="s">
        <v>152</v>
      </c>
      <c r="D73" s="10" t="s">
        <v>127</v>
      </c>
    </row>
    <row r="74" spans="1:4" ht="16.5">
      <c r="A74" s="13">
        <v>44784</v>
      </c>
      <c r="B74" s="10" t="s">
        <v>147</v>
      </c>
      <c r="C74" s="12" t="s">
        <v>154</v>
      </c>
      <c r="D74" s="10" t="s">
        <v>127</v>
      </c>
    </row>
    <row r="75" spans="1:4" ht="16.5">
      <c r="A75" s="13">
        <v>44814</v>
      </c>
      <c r="B75" s="10" t="s">
        <v>134</v>
      </c>
      <c r="C75" s="12" t="s">
        <v>155</v>
      </c>
      <c r="D75" s="10" t="s">
        <v>127</v>
      </c>
    </row>
    <row r="76" spans="1:4" ht="16.5">
      <c r="A76" s="13">
        <v>44843</v>
      </c>
      <c r="B76" s="10" t="s">
        <v>141</v>
      </c>
      <c r="C76" s="12" t="s">
        <v>158</v>
      </c>
      <c r="D76" s="10" t="s">
        <v>127</v>
      </c>
    </row>
    <row r="77" spans="1:4" ht="33.75">
      <c r="A77" s="13">
        <v>44843</v>
      </c>
      <c r="B77" s="10" t="s">
        <v>141</v>
      </c>
      <c r="C77" s="12" t="s">
        <v>157</v>
      </c>
      <c r="D77" s="10" t="s">
        <v>131</v>
      </c>
    </row>
    <row r="78" spans="1:4" ht="33.75">
      <c r="A78" s="13">
        <v>44844</v>
      </c>
      <c r="B78" s="10" t="s">
        <v>137</v>
      </c>
      <c r="C78" s="12" t="s">
        <v>168</v>
      </c>
      <c r="D78" s="10" t="s">
        <v>145</v>
      </c>
    </row>
    <row r="79" spans="1:4" ht="16.5">
      <c r="A79" s="13">
        <v>44858</v>
      </c>
      <c r="B79" s="10" t="s">
        <v>137</v>
      </c>
      <c r="C79" s="12" t="s">
        <v>159</v>
      </c>
      <c r="D79" s="10" t="s">
        <v>127</v>
      </c>
    </row>
    <row r="80" spans="1:4" ht="16.5">
      <c r="A80" s="13">
        <v>44872</v>
      </c>
      <c r="B80" s="10" t="s">
        <v>137</v>
      </c>
      <c r="C80" s="12" t="s">
        <v>160</v>
      </c>
      <c r="D80" s="10" t="s">
        <v>127</v>
      </c>
    </row>
    <row r="81" spans="1:4" ht="16.5">
      <c r="A81" s="13">
        <v>44902</v>
      </c>
      <c r="B81" s="10" t="s">
        <v>129</v>
      </c>
      <c r="C81" s="12" t="s">
        <v>162</v>
      </c>
      <c r="D81" s="10" t="s">
        <v>127</v>
      </c>
    </row>
    <row r="82" spans="1:4" ht="16.5">
      <c r="A82" s="13">
        <v>44920</v>
      </c>
      <c r="B82" s="10" t="s">
        <v>141</v>
      </c>
      <c r="C82" s="12" t="s">
        <v>161</v>
      </c>
      <c r="D82" s="10" t="s">
        <v>131</v>
      </c>
    </row>
    <row r="83" spans="1:4" ht="33.75">
      <c r="A83" s="13">
        <v>44921</v>
      </c>
      <c r="B83" s="10" t="s">
        <v>137</v>
      </c>
      <c r="C83" s="12" t="s">
        <v>169</v>
      </c>
      <c r="D83" s="10" t="s">
        <v>145</v>
      </c>
    </row>
    <row r="84" spans="1:4" ht="16.5">
      <c r="A84" s="13">
        <v>44932</v>
      </c>
      <c r="B84" s="10" t="s">
        <v>125</v>
      </c>
      <c r="C84" s="12" t="s">
        <v>126</v>
      </c>
      <c r="D84" s="10" t="s">
        <v>127</v>
      </c>
    </row>
    <row r="85" spans="1:4" ht="16.5">
      <c r="A85" s="13">
        <v>44941</v>
      </c>
      <c r="B85" s="10" t="s">
        <v>141</v>
      </c>
      <c r="C85" s="12" t="s">
        <v>130</v>
      </c>
      <c r="D85" s="10" t="s">
        <v>131</v>
      </c>
    </row>
    <row r="86" spans="1:4" ht="33.75">
      <c r="A86" s="13">
        <v>44942</v>
      </c>
      <c r="B86" s="10" t="s">
        <v>137</v>
      </c>
      <c r="C86" s="12" t="s">
        <v>170</v>
      </c>
      <c r="D86" s="10" t="s">
        <v>145</v>
      </c>
    </row>
    <row r="87" spans="1:4" ht="16.5">
      <c r="A87" s="13">
        <v>44961</v>
      </c>
      <c r="B87" s="10" t="s">
        <v>134</v>
      </c>
      <c r="C87" s="12" t="s">
        <v>166</v>
      </c>
      <c r="D87" s="10" t="s">
        <v>131</v>
      </c>
    </row>
    <row r="88" spans="1:4" ht="16.5">
      <c r="A88" s="13">
        <v>44962</v>
      </c>
      <c r="B88" s="10" t="s">
        <v>141</v>
      </c>
      <c r="C88" s="12" t="s">
        <v>135</v>
      </c>
      <c r="D88" s="10" t="s">
        <v>127</v>
      </c>
    </row>
    <row r="89" spans="1:4" ht="16.5">
      <c r="A89" s="13">
        <v>44975</v>
      </c>
      <c r="B89" s="10" t="s">
        <v>134</v>
      </c>
      <c r="C89" s="12" t="s">
        <v>136</v>
      </c>
      <c r="D89" s="10" t="s">
        <v>127</v>
      </c>
    </row>
    <row r="90" spans="1:4" ht="16.5">
      <c r="A90" s="13">
        <v>44991</v>
      </c>
      <c r="B90" s="10" t="s">
        <v>137</v>
      </c>
      <c r="C90" s="12" t="s">
        <v>138</v>
      </c>
      <c r="D90" s="10" t="s">
        <v>127</v>
      </c>
    </row>
    <row r="91" spans="1:4" ht="16.5">
      <c r="A91" s="13">
        <v>45021</v>
      </c>
      <c r="B91" s="10" t="s">
        <v>129</v>
      </c>
      <c r="C91" s="12" t="s">
        <v>139</v>
      </c>
      <c r="D91" s="10" t="s">
        <v>127</v>
      </c>
    </row>
    <row r="92" spans="1:4" ht="16.5">
      <c r="A92" s="13">
        <v>45023</v>
      </c>
      <c r="B92" s="10" t="s">
        <v>125</v>
      </c>
      <c r="C92" s="12" t="s">
        <v>140</v>
      </c>
      <c r="D92" s="10" t="s">
        <v>127</v>
      </c>
    </row>
    <row r="93" spans="1:4" ht="33.75">
      <c r="A93" s="13">
        <v>45029</v>
      </c>
      <c r="B93" s="10" t="s">
        <v>147</v>
      </c>
      <c r="C93" s="12" t="s">
        <v>142</v>
      </c>
      <c r="D93" s="10" t="s">
        <v>131</v>
      </c>
    </row>
    <row r="94" spans="1:4" ht="16.5">
      <c r="A94" s="13">
        <v>45030</v>
      </c>
      <c r="B94" s="10" t="s">
        <v>125</v>
      </c>
      <c r="C94" s="12" t="s">
        <v>143</v>
      </c>
      <c r="D94" s="10" t="s">
        <v>131</v>
      </c>
    </row>
    <row r="95" spans="1:4" ht="16.5">
      <c r="A95" s="13">
        <v>45038</v>
      </c>
      <c r="B95" s="10" t="s">
        <v>134</v>
      </c>
      <c r="C95" s="12" t="s">
        <v>150</v>
      </c>
      <c r="D95" s="10" t="s">
        <v>127</v>
      </c>
    </row>
    <row r="96" spans="1:4" ht="16.5">
      <c r="A96" s="13">
        <v>45047</v>
      </c>
      <c r="B96" s="10" t="s">
        <v>137</v>
      </c>
      <c r="C96" s="12" t="s">
        <v>146</v>
      </c>
      <c r="D96" s="10" t="s">
        <v>131</v>
      </c>
    </row>
    <row r="97" spans="1:4" ht="16.5">
      <c r="A97" s="13">
        <v>45051</v>
      </c>
      <c r="B97" s="10" t="s">
        <v>125</v>
      </c>
      <c r="C97" s="12" t="s">
        <v>148</v>
      </c>
      <c r="D97" s="10" t="s">
        <v>127</v>
      </c>
    </row>
    <row r="98" spans="1:4" ht="33.75">
      <c r="A98" s="13">
        <v>45052</v>
      </c>
      <c r="B98" s="10" t="s">
        <v>134</v>
      </c>
      <c r="C98" s="12" t="s">
        <v>149</v>
      </c>
      <c r="D98" s="10" t="s">
        <v>131</v>
      </c>
    </row>
    <row r="99" spans="1:4" ht="16.5">
      <c r="A99" s="13">
        <v>45080</v>
      </c>
      <c r="B99" s="10" t="s">
        <v>134</v>
      </c>
      <c r="C99" s="12" t="s">
        <v>151</v>
      </c>
      <c r="D99" s="10" t="s">
        <v>127</v>
      </c>
    </row>
    <row r="100" spans="1:4" ht="16.5">
      <c r="A100" s="13">
        <v>45106</v>
      </c>
      <c r="B100" s="10" t="s">
        <v>147</v>
      </c>
      <c r="C100" s="12" t="s">
        <v>153</v>
      </c>
      <c r="D100" s="10" t="s">
        <v>127</v>
      </c>
    </row>
    <row r="101" spans="1:4" ht="16.5">
      <c r="A101" s="13">
        <v>45110</v>
      </c>
      <c r="B101" s="10" t="s">
        <v>137</v>
      </c>
      <c r="C101" s="12" t="s">
        <v>171</v>
      </c>
      <c r="D101" s="10" t="s">
        <v>127</v>
      </c>
    </row>
    <row r="102" spans="1:4" ht="16.5">
      <c r="A102" s="13">
        <v>45139</v>
      </c>
      <c r="B102" s="10" t="s">
        <v>132</v>
      </c>
      <c r="C102" s="12" t="s">
        <v>152</v>
      </c>
      <c r="D102" s="10" t="s">
        <v>127</v>
      </c>
    </row>
    <row r="103" spans="1:4" ht="16.5">
      <c r="A103" s="13">
        <v>45168</v>
      </c>
      <c r="B103" s="10" t="s">
        <v>129</v>
      </c>
      <c r="C103" s="12" t="s">
        <v>154</v>
      </c>
      <c r="D103" s="10" t="s">
        <v>127</v>
      </c>
    </row>
    <row r="104" spans="1:4" ht="33.75">
      <c r="A104" s="13">
        <v>45197</v>
      </c>
      <c r="B104" s="10" t="s">
        <v>147</v>
      </c>
      <c r="C104" s="12" t="s">
        <v>157</v>
      </c>
      <c r="D104" s="10" t="s">
        <v>131</v>
      </c>
    </row>
    <row r="105" spans="1:4" ht="16.5">
      <c r="A105" s="13">
        <v>45198</v>
      </c>
      <c r="B105" s="10" t="s">
        <v>125</v>
      </c>
      <c r="C105" s="12" t="s">
        <v>155</v>
      </c>
      <c r="D105" s="10" t="s">
        <v>127</v>
      </c>
    </row>
    <row r="106" spans="1:4" ht="16.5">
      <c r="A106" s="13">
        <v>45227</v>
      </c>
      <c r="B106" s="10" t="s">
        <v>134</v>
      </c>
      <c r="C106" s="12" t="s">
        <v>158</v>
      </c>
      <c r="D106" s="10" t="s">
        <v>127</v>
      </c>
    </row>
    <row r="107" spans="1:4" ht="16.5">
      <c r="A107" s="13">
        <v>45242</v>
      </c>
      <c r="B107" s="10" t="s">
        <v>141</v>
      </c>
      <c r="C107" s="12" t="s">
        <v>159</v>
      </c>
      <c r="D107" s="10" t="s">
        <v>127</v>
      </c>
    </row>
    <row r="108" spans="1:4" ht="16.5">
      <c r="A108" s="13">
        <v>45256</v>
      </c>
      <c r="B108" s="10" t="s">
        <v>141</v>
      </c>
      <c r="C108" s="12" t="s">
        <v>160</v>
      </c>
      <c r="D108" s="10" t="s">
        <v>127</v>
      </c>
    </row>
    <row r="109" spans="1:4" ht="16.5">
      <c r="A109" s="13">
        <v>45285</v>
      </c>
      <c r="B109" s="10" t="s">
        <v>137</v>
      </c>
      <c r="C109" s="12" t="s">
        <v>161</v>
      </c>
      <c r="D109" s="10" t="s">
        <v>131</v>
      </c>
    </row>
    <row r="110" spans="1:4" ht="16.5">
      <c r="A110" s="13">
        <v>45286</v>
      </c>
      <c r="B110" s="10" t="s">
        <v>132</v>
      </c>
      <c r="C110" s="12" t="s">
        <v>162</v>
      </c>
      <c r="D110" s="10" t="s">
        <v>127</v>
      </c>
    </row>
    <row r="111" spans="1:4" ht="16.5">
      <c r="A111" s="13">
        <v>45306</v>
      </c>
      <c r="B111" s="10" t="s">
        <v>137</v>
      </c>
      <c r="C111" s="12" t="s">
        <v>130</v>
      </c>
      <c r="D111" s="10" t="s">
        <v>131</v>
      </c>
    </row>
    <row r="112" spans="1:4" ht="16.5">
      <c r="A112" s="13">
        <v>45316</v>
      </c>
      <c r="B112" s="10" t="s">
        <v>147</v>
      </c>
      <c r="C112" s="12" t="s">
        <v>126</v>
      </c>
      <c r="D112" s="10" t="s">
        <v>127</v>
      </c>
    </row>
    <row r="113" spans="1:4" ht="16.5">
      <c r="A113" s="13">
        <v>45326</v>
      </c>
      <c r="B113" s="10" t="s">
        <v>141</v>
      </c>
      <c r="C113" s="12" t="s">
        <v>166</v>
      </c>
      <c r="D113" s="10" t="s">
        <v>131</v>
      </c>
    </row>
    <row r="114" spans="1:4" ht="16.5">
      <c r="A114" s="13">
        <v>45345</v>
      </c>
      <c r="B114" s="10" t="s">
        <v>125</v>
      </c>
      <c r="C114" s="12" t="s">
        <v>135</v>
      </c>
      <c r="D114" s="10" t="s">
        <v>127</v>
      </c>
    </row>
    <row r="115" spans="1:4" ht="16.5">
      <c r="A115" s="13">
        <v>45359</v>
      </c>
      <c r="B115" s="10" t="s">
        <v>125</v>
      </c>
      <c r="C115" s="12" t="s">
        <v>136</v>
      </c>
      <c r="D115" s="10" t="s">
        <v>127</v>
      </c>
    </row>
    <row r="116" spans="1:4" ht="16.5">
      <c r="A116" s="13">
        <v>45375</v>
      </c>
      <c r="B116" s="10" t="s">
        <v>141</v>
      </c>
      <c r="C116" s="12" t="s">
        <v>138</v>
      </c>
      <c r="D116" s="10" t="s">
        <v>127</v>
      </c>
    </row>
    <row r="117" spans="1:4" ht="16.5">
      <c r="A117" s="13">
        <v>45380</v>
      </c>
      <c r="B117" s="10" t="s">
        <v>125</v>
      </c>
      <c r="C117" s="12" t="s">
        <v>140</v>
      </c>
      <c r="D117" s="10" t="s">
        <v>127</v>
      </c>
    </row>
    <row r="118" spans="1:4" ht="16.5">
      <c r="A118" s="13">
        <v>45393</v>
      </c>
      <c r="B118" s="10" t="s">
        <v>147</v>
      </c>
      <c r="C118" s="12" t="s">
        <v>150</v>
      </c>
      <c r="D118" s="10" t="s">
        <v>127</v>
      </c>
    </row>
    <row r="119" spans="1:4" ht="33.75">
      <c r="A119" s="13">
        <v>45394</v>
      </c>
      <c r="B119" s="10" t="s">
        <v>125</v>
      </c>
      <c r="C119" s="12" t="s">
        <v>142</v>
      </c>
      <c r="D119" s="10" t="s">
        <v>131</v>
      </c>
    </row>
    <row r="120" spans="1:4" ht="16.5">
      <c r="A120" s="13">
        <v>45395</v>
      </c>
      <c r="B120" s="10" t="s">
        <v>134</v>
      </c>
      <c r="C120" s="12" t="s">
        <v>143</v>
      </c>
      <c r="D120" s="10" t="s">
        <v>131</v>
      </c>
    </row>
    <row r="121" spans="1:4" ht="16.5">
      <c r="A121" s="13">
        <v>45405</v>
      </c>
      <c r="B121" s="10" t="s">
        <v>132</v>
      </c>
      <c r="C121" s="12" t="s">
        <v>139</v>
      </c>
      <c r="D121" s="10" t="s">
        <v>127</v>
      </c>
    </row>
    <row r="122" spans="1:4" ht="16.5">
      <c r="A122" s="13">
        <v>45413</v>
      </c>
      <c r="B122" s="10" t="s">
        <v>129</v>
      </c>
      <c r="C122" s="12" t="s">
        <v>172</v>
      </c>
      <c r="D122" s="10" t="s">
        <v>131</v>
      </c>
    </row>
    <row r="123" spans="1:4" ht="16.5">
      <c r="A123" s="13">
        <v>45435</v>
      </c>
      <c r="B123" s="10" t="s">
        <v>147</v>
      </c>
      <c r="C123" s="12" t="s">
        <v>148</v>
      </c>
      <c r="D123" s="10" t="s">
        <v>127</v>
      </c>
    </row>
    <row r="124" spans="1:4" ht="33.75">
      <c r="A124" s="13">
        <v>45436</v>
      </c>
      <c r="B124" s="10" t="s">
        <v>125</v>
      </c>
      <c r="C124" s="12" t="s">
        <v>149</v>
      </c>
      <c r="D124" s="10" t="s">
        <v>131</v>
      </c>
    </row>
    <row r="125" spans="1:4" ht="16.5">
      <c r="A125" s="13">
        <v>45460</v>
      </c>
      <c r="B125" s="10" t="s">
        <v>137</v>
      </c>
      <c r="C125" s="12" t="s">
        <v>153</v>
      </c>
      <c r="D125" s="10" t="s">
        <v>127</v>
      </c>
    </row>
    <row r="126" spans="1:4" ht="16.5">
      <c r="A126" s="13">
        <v>45464</v>
      </c>
      <c r="B126" s="10" t="s">
        <v>125</v>
      </c>
      <c r="C126" s="12" t="s">
        <v>151</v>
      </c>
      <c r="D126" s="10" t="s">
        <v>127</v>
      </c>
    </row>
    <row r="127" spans="1:4" ht="16.5">
      <c r="A127" s="13">
        <v>45493</v>
      </c>
      <c r="B127" s="10" t="s">
        <v>134</v>
      </c>
      <c r="C127" s="12" t="s">
        <v>152</v>
      </c>
      <c r="D127" s="10" t="s">
        <v>127</v>
      </c>
    </row>
    <row r="128" spans="1:4" ht="16.5">
      <c r="A128" s="13">
        <v>45523</v>
      </c>
      <c r="B128" s="10" t="s">
        <v>137</v>
      </c>
      <c r="C128" s="12" t="s">
        <v>154</v>
      </c>
      <c r="D128" s="10" t="s">
        <v>127</v>
      </c>
    </row>
    <row r="129" spans="1:4" ht="33.75">
      <c r="A129" s="13">
        <v>45551</v>
      </c>
      <c r="B129" s="10" t="s">
        <v>137</v>
      </c>
      <c r="C129" s="12" t="s">
        <v>157</v>
      </c>
      <c r="D129" s="10" t="s">
        <v>131</v>
      </c>
    </row>
    <row r="130" spans="1:4" ht="16.5">
      <c r="A130" s="13">
        <v>45552</v>
      </c>
      <c r="B130" s="10" t="s">
        <v>132</v>
      </c>
      <c r="C130" s="12" t="s">
        <v>155</v>
      </c>
      <c r="D130" s="10" t="s">
        <v>127</v>
      </c>
    </row>
    <row r="131" spans="1:4" ht="33.75">
      <c r="A131" s="13">
        <v>45558</v>
      </c>
      <c r="B131" s="10" t="s">
        <v>137</v>
      </c>
      <c r="C131" s="12" t="s">
        <v>173</v>
      </c>
      <c r="D131" s="10" t="s">
        <v>174</v>
      </c>
    </row>
    <row r="132" spans="1:4" ht="16.5">
      <c r="A132" s="13">
        <v>45582</v>
      </c>
      <c r="B132" s="10" t="s">
        <v>147</v>
      </c>
      <c r="C132" s="12" t="s">
        <v>158</v>
      </c>
      <c r="D132" s="10" t="s">
        <v>127</v>
      </c>
    </row>
    <row r="133" spans="1:4" ht="16.5">
      <c r="A133" s="13">
        <v>45596</v>
      </c>
      <c r="B133" s="10" t="s">
        <v>147</v>
      </c>
      <c r="C133" s="12" t="s">
        <v>159</v>
      </c>
      <c r="D133" s="10" t="s">
        <v>127</v>
      </c>
    </row>
    <row r="134" spans="1:4" ht="16.5">
      <c r="A134" s="13">
        <v>45611</v>
      </c>
      <c r="B134" s="10" t="s">
        <v>125</v>
      </c>
      <c r="C134" s="12" t="s">
        <v>160</v>
      </c>
      <c r="D134" s="10" t="s">
        <v>127</v>
      </c>
    </row>
    <row r="135" spans="1:4" ht="16.5">
      <c r="A135" s="13">
        <v>45640</v>
      </c>
      <c r="B135" s="10" t="s">
        <v>134</v>
      </c>
      <c r="C135" s="12" t="s">
        <v>162</v>
      </c>
      <c r="D135" s="10" t="s">
        <v>127</v>
      </c>
    </row>
    <row r="136" spans="1:4" ht="16.5">
      <c r="A136" s="13">
        <v>45651</v>
      </c>
      <c r="B136" s="10" t="s">
        <v>129</v>
      </c>
      <c r="C136" s="12" t="s">
        <v>161</v>
      </c>
      <c r="D136" s="10" t="s">
        <v>131</v>
      </c>
    </row>
    <row r="137" spans="1:4" ht="16.5">
      <c r="A137" s="13">
        <v>45670</v>
      </c>
      <c r="B137" s="10" t="s">
        <v>137</v>
      </c>
      <c r="C137" s="12" t="s">
        <v>126</v>
      </c>
      <c r="D137" s="10" t="s">
        <v>127</v>
      </c>
    </row>
    <row r="138" spans="1:4" ht="16.5">
      <c r="A138" s="13">
        <v>45671</v>
      </c>
      <c r="B138" s="10" t="s">
        <v>132</v>
      </c>
      <c r="C138" s="12" t="s">
        <v>130</v>
      </c>
      <c r="D138" s="10" t="s">
        <v>131</v>
      </c>
    </row>
    <row r="139" spans="1:4" ht="16.5">
      <c r="A139" s="13">
        <v>45692</v>
      </c>
      <c r="B139" s="10" t="s">
        <v>132</v>
      </c>
      <c r="C139" s="12" t="s">
        <v>166</v>
      </c>
      <c r="D139" s="10" t="s">
        <v>131</v>
      </c>
    </row>
    <row r="140" spans="1:4" ht="16.5">
      <c r="A140" s="13">
        <v>45700</v>
      </c>
      <c r="B140" s="10" t="s">
        <v>129</v>
      </c>
      <c r="C140" s="12" t="s">
        <v>135</v>
      </c>
      <c r="D140" s="10" t="s">
        <v>127</v>
      </c>
    </row>
    <row r="141" spans="1:4" ht="16.5">
      <c r="A141" s="13">
        <v>45714</v>
      </c>
      <c r="B141" s="10" t="s">
        <v>129</v>
      </c>
      <c r="C141" s="12" t="s">
        <v>136</v>
      </c>
      <c r="D141" s="10" t="s">
        <v>127</v>
      </c>
    </row>
    <row r="142" spans="1:4" ht="16.5">
      <c r="A142" s="13">
        <v>45729</v>
      </c>
      <c r="B142" s="10" t="s">
        <v>147</v>
      </c>
      <c r="C142" s="12" t="s">
        <v>138</v>
      </c>
      <c r="D142" s="10" t="s">
        <v>127</v>
      </c>
    </row>
    <row r="143" spans="1:4" ht="16.5">
      <c r="A143" s="13">
        <v>45747</v>
      </c>
      <c r="B143" s="10" t="s">
        <v>137</v>
      </c>
      <c r="C143" s="12" t="s">
        <v>150</v>
      </c>
      <c r="D143" s="10" t="s">
        <v>127</v>
      </c>
    </row>
    <row r="144" spans="1:4" ht="16.5">
      <c r="A144" s="13">
        <v>45759</v>
      </c>
      <c r="B144" s="10" t="s">
        <v>134</v>
      </c>
      <c r="C144" s="12" t="s">
        <v>139</v>
      </c>
      <c r="D144" s="10" t="s">
        <v>127</v>
      </c>
    </row>
    <row r="145" spans="1:4" ht="33.75">
      <c r="A145" s="13">
        <v>45760</v>
      </c>
      <c r="B145" s="10" t="s">
        <v>141</v>
      </c>
      <c r="C145" s="12" t="s">
        <v>142</v>
      </c>
      <c r="D145" s="10" t="s">
        <v>131</v>
      </c>
    </row>
    <row r="146" spans="1:4" ht="16.5">
      <c r="A146" s="13">
        <v>45761</v>
      </c>
      <c r="B146" s="10" t="s">
        <v>137</v>
      </c>
      <c r="C146" s="12" t="s">
        <v>143</v>
      </c>
      <c r="D146" s="10" t="s">
        <v>131</v>
      </c>
    </row>
    <row r="147" spans="1:4" ht="16.5">
      <c r="A147" s="13">
        <v>45762</v>
      </c>
      <c r="B147" s="10" t="s">
        <v>132</v>
      </c>
      <c r="C147" s="12" t="s">
        <v>144</v>
      </c>
      <c r="D147" s="10" t="s">
        <v>145</v>
      </c>
    </row>
    <row r="148" spans="1:4" ht="16.5">
      <c r="A148" s="13">
        <v>45765</v>
      </c>
      <c r="B148" s="10" t="s">
        <v>125</v>
      </c>
      <c r="C148" s="12" t="s">
        <v>140</v>
      </c>
      <c r="D148" s="10" t="s">
        <v>127</v>
      </c>
    </row>
    <row r="149" spans="1:4" ht="16.5">
      <c r="A149" s="13">
        <v>45778</v>
      </c>
      <c r="B149" s="10" t="s">
        <v>147</v>
      </c>
      <c r="C149" s="12" t="s">
        <v>172</v>
      </c>
      <c r="D149" s="10" t="s">
        <v>131</v>
      </c>
    </row>
    <row r="150" spans="1:4" ht="16.5">
      <c r="A150" s="13">
        <v>45789</v>
      </c>
      <c r="B150" s="10" t="s">
        <v>137</v>
      </c>
      <c r="C150" s="12" t="s">
        <v>148</v>
      </c>
      <c r="D150" s="10" t="s">
        <v>127</v>
      </c>
    </row>
    <row r="151" spans="1:4" ht="33.75">
      <c r="A151" s="13">
        <v>45790</v>
      </c>
      <c r="B151" s="10" t="s">
        <v>132</v>
      </c>
      <c r="C151" s="12" t="s">
        <v>149</v>
      </c>
      <c r="D151" s="10" t="s">
        <v>131</v>
      </c>
    </row>
    <row r="152" spans="1:4" ht="16.5">
      <c r="A152" s="13">
        <v>45815</v>
      </c>
      <c r="B152" s="10" t="s">
        <v>134</v>
      </c>
      <c r="C152" s="12" t="s">
        <v>153</v>
      </c>
      <c r="D152" s="10" t="s">
        <v>127</v>
      </c>
    </row>
    <row r="153" spans="1:4" ht="16.5">
      <c r="A153" s="13">
        <v>45818</v>
      </c>
      <c r="B153" s="10" t="s">
        <v>132</v>
      </c>
      <c r="C153" s="12" t="s">
        <v>151</v>
      </c>
      <c r="D153" s="10" t="s">
        <v>127</v>
      </c>
    </row>
    <row r="154" spans="1:4" ht="16.5">
      <c r="A154" s="13">
        <v>45848</v>
      </c>
      <c r="B154" s="10" t="s">
        <v>147</v>
      </c>
      <c r="C154" s="12" t="s">
        <v>152</v>
      </c>
      <c r="D154" s="10" t="s">
        <v>127</v>
      </c>
    </row>
    <row r="155" spans="1:4" ht="16.5">
      <c r="A155" s="13">
        <v>45877</v>
      </c>
      <c r="B155" s="10" t="s">
        <v>125</v>
      </c>
      <c r="C155" s="12" t="s">
        <v>154</v>
      </c>
      <c r="D155" s="10" t="s">
        <v>127</v>
      </c>
    </row>
    <row r="156" spans="1:4" ht="33.75">
      <c r="A156" s="13">
        <v>45905</v>
      </c>
      <c r="B156" s="10" t="s">
        <v>125</v>
      </c>
      <c r="C156" s="12" t="s">
        <v>157</v>
      </c>
      <c r="D156" s="10" t="s">
        <v>131</v>
      </c>
    </row>
    <row r="157" spans="1:4" ht="16.5">
      <c r="A157" s="13">
        <v>45907</v>
      </c>
      <c r="B157" s="10" t="s">
        <v>141</v>
      </c>
      <c r="C157" s="12" t="s">
        <v>155</v>
      </c>
      <c r="D157" s="10" t="s">
        <v>127</v>
      </c>
    </row>
    <row r="158" spans="1:4" ht="16.5">
      <c r="A158" s="13">
        <v>45936</v>
      </c>
      <c r="B158" s="10" t="s">
        <v>137</v>
      </c>
      <c r="C158" s="12" t="s">
        <v>158</v>
      </c>
      <c r="D158" s="10" t="s">
        <v>127</v>
      </c>
    </row>
    <row r="159" spans="1:4" ht="16.5">
      <c r="A159" s="13">
        <v>45950</v>
      </c>
      <c r="B159" s="10" t="s">
        <v>137</v>
      </c>
      <c r="C159" s="12" t="s">
        <v>159</v>
      </c>
      <c r="D159" s="10" t="s">
        <v>127</v>
      </c>
    </row>
    <row r="160" spans="1:4" ht="16.5">
      <c r="A160" s="13">
        <v>45966</v>
      </c>
      <c r="B160" s="10" t="s">
        <v>129</v>
      </c>
      <c r="C160" s="12" t="s">
        <v>160</v>
      </c>
      <c r="D160" s="10" t="s">
        <v>127</v>
      </c>
    </row>
    <row r="161" spans="1:4" ht="16.5">
      <c r="A161" s="13">
        <v>45995</v>
      </c>
      <c r="B161" s="10" t="s">
        <v>147</v>
      </c>
      <c r="C161" s="12" t="s">
        <v>162</v>
      </c>
      <c r="D161" s="10" t="s">
        <v>127</v>
      </c>
    </row>
    <row r="162" spans="1:4" ht="16.5">
      <c r="A162" s="13">
        <v>46016</v>
      </c>
      <c r="B162" s="10" t="s">
        <v>147</v>
      </c>
      <c r="C162" s="12" t="s">
        <v>161</v>
      </c>
      <c r="D162" s="10" t="s">
        <v>131</v>
      </c>
    </row>
    <row r="163" spans="1:4" ht="16.5">
      <c r="A163" s="13">
        <v>46025</v>
      </c>
      <c r="B163" s="10" t="s">
        <v>134</v>
      </c>
      <c r="C163" s="12" t="s">
        <v>126</v>
      </c>
      <c r="D163" s="12" t="s">
        <v>127</v>
      </c>
    </row>
    <row r="164" spans="1:4" ht="16.5">
      <c r="A164" s="13">
        <v>46037</v>
      </c>
      <c r="B164" s="10" t="s">
        <v>147</v>
      </c>
      <c r="C164" s="12" t="s">
        <v>130</v>
      </c>
      <c r="D164" s="12" t="s">
        <v>131</v>
      </c>
    </row>
    <row r="165" spans="1:4" ht="16.5">
      <c r="A165" s="13">
        <v>46054</v>
      </c>
      <c r="B165" s="10" t="s">
        <v>141</v>
      </c>
      <c r="C165" s="12" t="s">
        <v>135</v>
      </c>
      <c r="D165" s="12" t="s">
        <v>127</v>
      </c>
    </row>
    <row r="166" spans="1:4" ht="16.5">
      <c r="A166" s="13">
        <v>46057</v>
      </c>
      <c r="B166" s="10" t="s">
        <v>129</v>
      </c>
      <c r="C166" s="12" t="s">
        <v>175</v>
      </c>
      <c r="D166" s="12" t="s">
        <v>131</v>
      </c>
    </row>
    <row r="167" spans="1:4" ht="16.5">
      <c r="A167" s="13">
        <v>46068</v>
      </c>
      <c r="B167" s="10" t="s">
        <v>141</v>
      </c>
      <c r="C167" s="12" t="s">
        <v>136</v>
      </c>
      <c r="D167" s="12" t="s">
        <v>127</v>
      </c>
    </row>
    <row r="168" spans="1:4" ht="16.5">
      <c r="A168" s="13">
        <v>46083</v>
      </c>
      <c r="B168" s="10" t="s">
        <v>137</v>
      </c>
      <c r="C168" s="12" t="s">
        <v>138</v>
      </c>
      <c r="D168" s="12" t="s">
        <v>127</v>
      </c>
    </row>
    <row r="169" spans="1:4" ht="16.5">
      <c r="A169" s="13">
        <v>46102</v>
      </c>
      <c r="B169" s="10" t="s">
        <v>134</v>
      </c>
      <c r="C169" s="12" t="s">
        <v>176</v>
      </c>
      <c r="D169" s="12" t="s">
        <v>127</v>
      </c>
    </row>
    <row r="170" spans="1:4" ht="16.5">
      <c r="A170" s="13">
        <v>46113</v>
      </c>
      <c r="B170" s="10" t="s">
        <v>129</v>
      </c>
      <c r="C170" s="12" t="s">
        <v>139</v>
      </c>
      <c r="D170" s="12" t="s">
        <v>127</v>
      </c>
    </row>
    <row r="171" spans="1:4" ht="16.5">
      <c r="A171" s="13">
        <v>46115</v>
      </c>
      <c r="B171" s="10" t="s">
        <v>125</v>
      </c>
      <c r="C171" s="12" t="s">
        <v>140</v>
      </c>
      <c r="D171" s="12" t="s">
        <v>127</v>
      </c>
    </row>
    <row r="172" spans="1:4" ht="33.75">
      <c r="A172" s="13">
        <v>46125</v>
      </c>
      <c r="B172" s="10" t="s">
        <v>137</v>
      </c>
      <c r="C172" s="12" t="s">
        <v>142</v>
      </c>
      <c r="D172" s="12" t="s">
        <v>131</v>
      </c>
    </row>
    <row r="173" spans="1:4" ht="16.5">
      <c r="A173" s="13">
        <v>46126</v>
      </c>
      <c r="B173" s="10" t="s">
        <v>132</v>
      </c>
      <c r="C173" s="12" t="s">
        <v>143</v>
      </c>
      <c r="D173" s="12" t="s">
        <v>131</v>
      </c>
    </row>
    <row r="174" spans="1:4" ht="33.75">
      <c r="A174" s="13">
        <v>46143</v>
      </c>
      <c r="B174" s="10" t="s">
        <v>125</v>
      </c>
      <c r="C174" s="12" t="s">
        <v>177</v>
      </c>
      <c r="D174" s="12" t="s">
        <v>178</v>
      </c>
    </row>
    <row r="175" spans="1:4" ht="33.75">
      <c r="A175" s="13">
        <v>46144</v>
      </c>
      <c r="B175" s="10" t="s">
        <v>134</v>
      </c>
      <c r="C175" s="12" t="s">
        <v>149</v>
      </c>
      <c r="D175" s="12" t="s">
        <v>131</v>
      </c>
    </row>
    <row r="176" spans="1:4" ht="16.5">
      <c r="A176" s="13">
        <v>46170</v>
      </c>
      <c r="B176" s="10" t="s">
        <v>147</v>
      </c>
      <c r="C176" s="12" t="s">
        <v>179</v>
      </c>
      <c r="D176" s="12" t="s">
        <v>127</v>
      </c>
    </row>
    <row r="177" spans="1:4" ht="16.5">
      <c r="A177" s="13">
        <v>46172</v>
      </c>
      <c r="B177" s="10" t="s">
        <v>134</v>
      </c>
      <c r="C177" s="12" t="s">
        <v>180</v>
      </c>
      <c r="D177" s="12" t="s">
        <v>127</v>
      </c>
    </row>
    <row r="178" spans="1:4" ht="16.5">
      <c r="A178" s="13">
        <v>46202</v>
      </c>
      <c r="B178" s="10" t="s">
        <v>137</v>
      </c>
      <c r="C178" s="12" t="s">
        <v>151</v>
      </c>
      <c r="D178" s="12" t="s">
        <v>127</v>
      </c>
    </row>
    <row r="179" spans="1:4" ht="16.5">
      <c r="A179" s="13">
        <v>46232</v>
      </c>
      <c r="B179" s="10" t="s">
        <v>129</v>
      </c>
      <c r="C179" s="12" t="s">
        <v>152</v>
      </c>
      <c r="D179" s="12" t="s">
        <v>127</v>
      </c>
    </row>
    <row r="180" spans="1:4" ht="33.75">
      <c r="A180" s="13">
        <v>46260</v>
      </c>
      <c r="B180" s="10" t="s">
        <v>129</v>
      </c>
      <c r="C180" s="12" t="s">
        <v>157</v>
      </c>
      <c r="D180" s="12" t="s">
        <v>131</v>
      </c>
    </row>
    <row r="181" spans="1:4" ht="16.5">
      <c r="A181" s="13">
        <v>46261</v>
      </c>
      <c r="B181" s="10" t="s">
        <v>147</v>
      </c>
      <c r="C181" s="12" t="s">
        <v>154</v>
      </c>
      <c r="D181" s="12" t="s">
        <v>127</v>
      </c>
    </row>
    <row r="182" spans="1:4" ht="16.5">
      <c r="A182" s="13">
        <v>46291</v>
      </c>
      <c r="B182" s="10" t="s">
        <v>134</v>
      </c>
      <c r="C182" s="12" t="s">
        <v>155</v>
      </c>
      <c r="D182" s="12" t="s">
        <v>127</v>
      </c>
    </row>
    <row r="183" spans="1:4" ht="16.5">
      <c r="A183" s="13">
        <v>46320</v>
      </c>
      <c r="B183" s="10" t="s">
        <v>141</v>
      </c>
      <c r="C183" s="12" t="s">
        <v>158</v>
      </c>
      <c r="D183" s="12" t="s">
        <v>127</v>
      </c>
    </row>
    <row r="184" spans="1:4" ht="16.5">
      <c r="A184" s="13">
        <v>46334</v>
      </c>
      <c r="B184" s="10" t="s">
        <v>141</v>
      </c>
      <c r="C184" s="12" t="s">
        <v>181</v>
      </c>
      <c r="D184" s="12" t="s">
        <v>127</v>
      </c>
    </row>
    <row r="185" spans="1:4" ht="16.5">
      <c r="A185" s="13">
        <v>46350</v>
      </c>
      <c r="B185" s="10" t="s">
        <v>132</v>
      </c>
      <c r="C185" s="12" t="s">
        <v>160</v>
      </c>
      <c r="D185" s="12" t="s">
        <v>127</v>
      </c>
    </row>
    <row r="186" spans="1:4" ht="16.5">
      <c r="A186" s="13">
        <v>46379</v>
      </c>
      <c r="B186" s="10" t="s">
        <v>129</v>
      </c>
      <c r="C186" s="12" t="s">
        <v>162</v>
      </c>
      <c r="D186" s="12" t="s">
        <v>127</v>
      </c>
    </row>
    <row r="187" spans="1:4" ht="16.5">
      <c r="A187" s="13">
        <v>46381</v>
      </c>
      <c r="B187" s="10" t="s">
        <v>125</v>
      </c>
      <c r="C187" s="12" t="s">
        <v>161</v>
      </c>
      <c r="D187" s="12" t="s">
        <v>131</v>
      </c>
    </row>
  </sheetData>
  <sheetProtection sheet="1" objects="1" scenarios="1"/>
  <protectedRanges>
    <protectedRange sqref="A1:D1048576" name="Holidays"/>
  </protectedRanges>
  <mergeCells count="1">
    <mergeCell ref="H2: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2026-05-18T08:03:03Z</dcterms:created>
  <dcterms:modified xsi:type="dcterms:W3CDTF">2026-10-16T11:25:29Z</dcterms:modified>
  <cp:category/>
  <cp:contentStatus/>
</cp:coreProperties>
</file>